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orth\0.USO\Anitigravity\Gang3Cha\Data\"/>
    </mc:Choice>
  </mc:AlternateContent>
  <xr:revisionPtr revIDLastSave="0" documentId="13_ncr:1_{CBD3E309-8D98-4B94-A48D-273D8904C0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mmary" sheetId="202" r:id="rId1"/>
    <sheet name="Overview" sheetId="203" r:id="rId2"/>
    <sheet name="Fixed Station" sheetId="205" r:id="rId3"/>
    <sheet name="Event Log" sheetId="204" r:id="rId4"/>
  </sheets>
  <definedNames>
    <definedName name="__xlnm.Print_Area_3" localSheetId="0">#REF!</definedName>
    <definedName name="__xlnm.Print_Area_3">#REF!</definedName>
    <definedName name="__xlnm.Print_Area_4">#REF!</definedName>
    <definedName name="_xlnm._FilterDatabase" localSheetId="3" hidden="1">'Event Log'!$A$1:$E$215</definedName>
    <definedName name="IP_PBX" localSheetId="0">#REF!</definedName>
    <definedName name="IP_PBX">#REF!</definedName>
    <definedName name="OLE_LINK1">#REF!</definedName>
    <definedName name="_xlnm.Print_Area" localSheetId="0">Summary!$A$1:$R$20</definedName>
    <definedName name="Type" localSheetId="0">#REF!</definedName>
    <definedName name="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6" i="204" l="1"/>
  <c r="C247" i="204"/>
  <c r="C248" i="204"/>
  <c r="C249" i="204"/>
  <c r="C250" i="204"/>
  <c r="C251" i="204"/>
  <c r="C252" i="204"/>
  <c r="C253" i="204"/>
  <c r="C254" i="204"/>
  <c r="C255" i="204"/>
  <c r="C256" i="204"/>
  <c r="C257" i="204"/>
  <c r="C258" i="204"/>
  <c r="C259" i="204"/>
  <c r="C260" i="204"/>
  <c r="C261" i="204"/>
  <c r="C262" i="204"/>
  <c r="C263" i="204"/>
  <c r="C264" i="204"/>
  <c r="C265" i="204"/>
  <c r="C266" i="204"/>
  <c r="C267" i="204"/>
  <c r="C268" i="204"/>
  <c r="C269" i="204"/>
  <c r="C270" i="204"/>
  <c r="C271" i="204"/>
  <c r="C272" i="204"/>
  <c r="C273" i="204"/>
  <c r="C274" i="204"/>
  <c r="C275" i="204"/>
  <c r="C276" i="204"/>
  <c r="C277" i="204"/>
  <c r="C278" i="204"/>
  <c r="C279" i="204"/>
  <c r="C280" i="204"/>
  <c r="C281" i="204"/>
  <c r="C282" i="204"/>
  <c r="C283" i="204"/>
  <c r="C284" i="204"/>
  <c r="C285" i="204"/>
  <c r="C286" i="204"/>
  <c r="C287" i="204"/>
  <c r="C288" i="204"/>
  <c r="C289" i="204"/>
  <c r="C290" i="204"/>
  <c r="C291" i="204"/>
  <c r="C292" i="204"/>
  <c r="C293" i="204"/>
  <c r="C294" i="204"/>
  <c r="C295" i="204"/>
  <c r="C296" i="204"/>
  <c r="C297" i="204"/>
  <c r="C298" i="204"/>
  <c r="C299" i="204"/>
  <c r="C300" i="204"/>
  <c r="C301" i="204"/>
  <c r="C302" i="204"/>
  <c r="C303" i="204"/>
  <c r="C304" i="204"/>
  <c r="C305" i="204"/>
  <c r="C306" i="204"/>
  <c r="C307" i="204"/>
  <c r="C308" i="204"/>
  <c r="C309" i="204"/>
  <c r="C310" i="204"/>
  <c r="C311" i="204"/>
  <c r="C312" i="204"/>
  <c r="C313" i="204"/>
  <c r="C314" i="204"/>
  <c r="C315" i="204"/>
  <c r="C316" i="204"/>
  <c r="C317" i="204"/>
  <c r="C318" i="204"/>
  <c r="C319" i="204"/>
  <c r="C320" i="204"/>
  <c r="C321" i="204"/>
  <c r="C322" i="204"/>
  <c r="C323" i="204"/>
  <c r="C324" i="204"/>
  <c r="C325" i="204"/>
  <c r="C326" i="204"/>
  <c r="C327" i="204"/>
  <c r="C328" i="204"/>
  <c r="C329" i="204"/>
  <c r="C330" i="204"/>
  <c r="C331" i="204"/>
  <c r="C332" i="204"/>
  <c r="C333" i="204"/>
  <c r="C334" i="204"/>
  <c r="C335" i="204"/>
  <c r="C336" i="204"/>
  <c r="C337" i="204"/>
  <c r="C338" i="204"/>
  <c r="C339" i="204"/>
  <c r="C340" i="204"/>
  <c r="C341" i="204"/>
  <c r="C342" i="204"/>
  <c r="C343" i="204"/>
  <c r="C344" i="204"/>
  <c r="C345" i="204"/>
  <c r="C346" i="204"/>
  <c r="C347" i="204"/>
  <c r="C348" i="204"/>
  <c r="C349" i="204"/>
  <c r="C350" i="204"/>
  <c r="C351" i="204"/>
  <c r="C352" i="204"/>
  <c r="C353" i="204"/>
  <c r="C354" i="204"/>
  <c r="C355" i="204"/>
  <c r="C356" i="204"/>
  <c r="C357" i="204"/>
  <c r="C358" i="204"/>
  <c r="C359" i="204"/>
  <c r="C360" i="204"/>
  <c r="C361" i="204"/>
  <c r="C362" i="204"/>
  <c r="C363" i="204"/>
  <c r="C364" i="204"/>
  <c r="C365" i="204"/>
  <c r="C366" i="204"/>
  <c r="C367" i="204"/>
  <c r="C368" i="204"/>
  <c r="C369" i="204"/>
  <c r="C370" i="204"/>
  <c r="C371" i="204"/>
  <c r="C372" i="204"/>
  <c r="C373" i="204"/>
  <c r="C374" i="204"/>
  <c r="C375" i="204"/>
  <c r="C376" i="204"/>
  <c r="C377" i="204"/>
  <c r="C378" i="204"/>
  <c r="C379" i="204"/>
  <c r="C380" i="204"/>
  <c r="C381" i="204"/>
  <c r="C382" i="204"/>
  <c r="C383" i="204"/>
  <c r="C384" i="204"/>
  <c r="C385" i="204"/>
  <c r="C386" i="204"/>
  <c r="C387" i="204"/>
  <c r="C388" i="204"/>
  <c r="C389" i="204"/>
  <c r="C390" i="204"/>
  <c r="C391" i="204"/>
  <c r="C392" i="204"/>
  <c r="C393" i="204"/>
  <c r="C394" i="204"/>
  <c r="C395" i="204"/>
  <c r="C396" i="204"/>
  <c r="C397" i="204"/>
  <c r="C398" i="204"/>
  <c r="C399" i="204"/>
  <c r="C400" i="204"/>
  <c r="C401" i="204"/>
  <c r="C402" i="204"/>
  <c r="C403" i="204"/>
  <c r="C404" i="204"/>
  <c r="C405" i="204"/>
  <c r="C406" i="204"/>
  <c r="C407" i="204"/>
  <c r="C408" i="204"/>
  <c r="C409" i="204"/>
  <c r="C410" i="204"/>
  <c r="C411" i="204"/>
  <c r="C412" i="204"/>
  <c r="C413" i="204"/>
  <c r="C414" i="204"/>
  <c r="C415" i="204"/>
  <c r="C416" i="204"/>
  <c r="C417" i="204"/>
  <c r="C418" i="204"/>
  <c r="C419" i="204"/>
  <c r="C420" i="204"/>
  <c r="C421" i="204"/>
  <c r="C422" i="204"/>
  <c r="C423" i="204"/>
  <c r="C424" i="204"/>
  <c r="C425" i="204"/>
  <c r="C426" i="204"/>
  <c r="C427" i="204"/>
  <c r="C428" i="204"/>
  <c r="C429" i="204"/>
  <c r="C430" i="204"/>
  <c r="C431" i="204"/>
  <c r="C432" i="204"/>
  <c r="C433" i="204"/>
  <c r="C434" i="204"/>
  <c r="C435" i="204"/>
  <c r="C436" i="204"/>
  <c r="C437" i="204"/>
  <c r="C438" i="204"/>
  <c r="C439" i="204"/>
  <c r="C440" i="204"/>
  <c r="C441" i="204"/>
  <c r="C442" i="204"/>
  <c r="C443" i="204"/>
  <c r="C444" i="204"/>
  <c r="C445" i="204"/>
  <c r="C446" i="204"/>
  <c r="C447" i="204"/>
  <c r="C448" i="204"/>
  <c r="C449" i="204"/>
  <c r="C450" i="204"/>
  <c r="C451" i="204"/>
  <c r="C452" i="204"/>
  <c r="C453" i="204"/>
  <c r="C454" i="204"/>
  <c r="C455" i="204"/>
  <c r="C456" i="204"/>
  <c r="C457" i="204"/>
  <c r="C458" i="204"/>
  <c r="C459" i="204"/>
  <c r="C460" i="204"/>
  <c r="C461" i="204"/>
  <c r="C462" i="204"/>
  <c r="C463" i="204"/>
  <c r="C464" i="204"/>
  <c r="C465" i="204"/>
  <c r="C466" i="204"/>
  <c r="C467" i="204"/>
  <c r="C468" i="204"/>
  <c r="C469" i="204"/>
  <c r="C470" i="204"/>
  <c r="C471" i="204"/>
  <c r="C472" i="204"/>
  <c r="C473" i="204"/>
  <c r="C474" i="204"/>
  <c r="C475" i="204"/>
  <c r="C476" i="204"/>
  <c r="C477" i="204"/>
  <c r="C478" i="204"/>
  <c r="C479" i="204"/>
  <c r="C480" i="204"/>
  <c r="C481" i="204"/>
  <c r="C482" i="204"/>
  <c r="C483" i="204"/>
  <c r="C484" i="204"/>
  <c r="C485" i="204"/>
  <c r="C486" i="204"/>
  <c r="C487" i="204"/>
  <c r="C488" i="204"/>
  <c r="C489" i="204"/>
  <c r="C490" i="204"/>
  <c r="C491" i="204"/>
  <c r="C492" i="204"/>
  <c r="C493" i="204"/>
  <c r="C494" i="204"/>
  <c r="C495" i="204"/>
  <c r="C496" i="204"/>
  <c r="C497" i="204"/>
  <c r="C498" i="204"/>
  <c r="C499" i="204"/>
  <c r="C500" i="204"/>
  <c r="C501" i="204"/>
  <c r="C502" i="204"/>
  <c r="C503" i="204"/>
  <c r="C504" i="204"/>
  <c r="C505" i="204"/>
  <c r="C506" i="204"/>
  <c r="C507" i="204"/>
  <c r="C508" i="204"/>
  <c r="C509" i="204"/>
  <c r="C510" i="204"/>
  <c r="C511" i="204"/>
  <c r="C512" i="204"/>
  <c r="C513" i="204"/>
  <c r="C514" i="204"/>
  <c r="C515" i="204"/>
  <c r="C516" i="204"/>
  <c r="C517" i="204"/>
  <c r="C518" i="204"/>
  <c r="C519" i="204"/>
  <c r="C520" i="204"/>
  <c r="C521" i="204"/>
  <c r="C522" i="204"/>
  <c r="C523" i="204"/>
  <c r="C524" i="204"/>
  <c r="C525" i="204"/>
  <c r="C526" i="204"/>
  <c r="C527" i="204"/>
  <c r="C528" i="204"/>
  <c r="C529" i="204"/>
  <c r="C530" i="204"/>
  <c r="C531" i="204"/>
  <c r="C532" i="204"/>
  <c r="C533" i="204"/>
  <c r="C534" i="204"/>
  <c r="C535" i="204"/>
  <c r="C536" i="204"/>
  <c r="C537" i="204"/>
  <c r="C538" i="204"/>
  <c r="C539" i="204"/>
  <c r="C540" i="204"/>
  <c r="C541" i="204"/>
  <c r="C542" i="204"/>
  <c r="C543" i="204"/>
  <c r="C544" i="204"/>
  <c r="C545" i="204"/>
  <c r="C546" i="204"/>
  <c r="C547" i="204"/>
  <c r="C548" i="204"/>
  <c r="C549" i="204"/>
  <c r="C550" i="204"/>
  <c r="C551" i="204"/>
  <c r="C552" i="204"/>
  <c r="C553" i="204"/>
  <c r="C554" i="204"/>
  <c r="C555" i="204"/>
  <c r="C556" i="204"/>
  <c r="C557" i="204"/>
  <c r="C558" i="204"/>
  <c r="C559" i="204"/>
  <c r="C560" i="204"/>
  <c r="C561" i="204"/>
  <c r="C562" i="204"/>
  <c r="C563" i="204"/>
  <c r="C564" i="204"/>
  <c r="C565" i="204"/>
  <c r="C566" i="204"/>
  <c r="C567" i="204"/>
  <c r="C568" i="204"/>
  <c r="C569" i="204"/>
  <c r="C570" i="204"/>
  <c r="C571" i="204"/>
  <c r="C572" i="204"/>
  <c r="C573" i="204"/>
  <c r="C574" i="204"/>
  <c r="C575" i="204"/>
  <c r="C576" i="204"/>
  <c r="C577" i="204"/>
  <c r="C578" i="204"/>
  <c r="C579" i="204"/>
  <c r="C580" i="204"/>
  <c r="C581" i="204"/>
  <c r="C582" i="204"/>
  <c r="C583" i="204"/>
  <c r="C584" i="204"/>
  <c r="C585" i="204"/>
  <c r="C586" i="204"/>
  <c r="C587" i="204"/>
  <c r="C588" i="204"/>
  <c r="C589" i="204"/>
  <c r="C590" i="204"/>
  <c r="C591" i="204"/>
  <c r="C592" i="204"/>
  <c r="C593" i="204"/>
  <c r="C594" i="204"/>
  <c r="C595" i="204"/>
  <c r="C596" i="204"/>
  <c r="C597" i="204"/>
  <c r="C598" i="204"/>
  <c r="C599" i="204"/>
  <c r="C600" i="204"/>
  <c r="C601" i="204"/>
  <c r="C602" i="204"/>
  <c r="C603" i="204"/>
  <c r="C604" i="204"/>
  <c r="C605" i="204"/>
  <c r="C606" i="204"/>
  <c r="C607" i="204"/>
  <c r="C608" i="204"/>
  <c r="C609" i="204"/>
  <c r="C610" i="204"/>
  <c r="C611" i="204"/>
  <c r="C612" i="204"/>
  <c r="C613" i="204"/>
  <c r="C614" i="204"/>
  <c r="C615" i="204"/>
  <c r="C616" i="204"/>
  <c r="C617" i="204"/>
  <c r="C618" i="204"/>
  <c r="C619" i="204"/>
  <c r="C620" i="204"/>
  <c r="C621" i="204"/>
  <c r="C622" i="204"/>
  <c r="C623" i="204"/>
  <c r="C624" i="204"/>
  <c r="C625" i="204"/>
  <c r="C626" i="204"/>
  <c r="C627" i="204"/>
  <c r="C628" i="204"/>
  <c r="C629" i="204"/>
  <c r="C630" i="204"/>
  <c r="C631" i="204"/>
  <c r="C632" i="204"/>
  <c r="C633" i="204"/>
  <c r="C634" i="204"/>
  <c r="C635" i="204"/>
  <c r="C636" i="204"/>
  <c r="C637" i="204"/>
  <c r="C638" i="204"/>
  <c r="C639" i="204"/>
  <c r="C640" i="204"/>
  <c r="C641" i="204"/>
  <c r="C642" i="204"/>
  <c r="C643" i="204"/>
  <c r="C644" i="204"/>
  <c r="C645" i="204"/>
  <c r="C646" i="204"/>
  <c r="C647" i="204"/>
  <c r="C648" i="204"/>
  <c r="C649" i="204"/>
  <c r="C650" i="204"/>
  <c r="C651" i="204"/>
  <c r="C652" i="204"/>
  <c r="C653" i="204"/>
  <c r="C654" i="204"/>
  <c r="C655" i="204"/>
  <c r="C656" i="204"/>
  <c r="C657" i="204"/>
  <c r="C658" i="204"/>
  <c r="C659" i="204"/>
  <c r="C660" i="204"/>
  <c r="C661" i="204"/>
  <c r="C662" i="204"/>
  <c r="C663" i="204"/>
  <c r="C664" i="204"/>
  <c r="C665" i="204"/>
  <c r="C666" i="204"/>
  <c r="C667" i="204"/>
  <c r="C668" i="204"/>
  <c r="C669" i="204"/>
  <c r="C670" i="204"/>
  <c r="C671" i="204"/>
  <c r="C672" i="204"/>
  <c r="C673" i="204"/>
  <c r="C674" i="204"/>
  <c r="C675" i="204"/>
  <c r="C676" i="204"/>
  <c r="C677" i="204"/>
  <c r="C678" i="204"/>
  <c r="C679" i="204"/>
  <c r="C680" i="204"/>
  <c r="C681" i="204"/>
  <c r="C682" i="204"/>
  <c r="C683" i="204"/>
  <c r="C684" i="204"/>
  <c r="C685" i="204"/>
  <c r="C686" i="204"/>
  <c r="C687" i="204"/>
  <c r="C688" i="204"/>
  <c r="C689" i="204"/>
  <c r="C690" i="204"/>
  <c r="C691" i="204"/>
  <c r="C692" i="204"/>
  <c r="C693" i="204"/>
  <c r="C694" i="204"/>
  <c r="C695" i="204"/>
  <c r="C696" i="204"/>
  <c r="C697" i="204"/>
  <c r="C698" i="204"/>
  <c r="C699" i="204"/>
  <c r="C700" i="204"/>
  <c r="C701" i="204"/>
  <c r="C702" i="204"/>
  <c r="C703" i="204"/>
  <c r="C704" i="204"/>
  <c r="C705" i="204"/>
  <c r="C126" i="204"/>
  <c r="C127" i="204"/>
  <c r="C128" i="204"/>
  <c r="C129" i="204"/>
  <c r="C130" i="204"/>
  <c r="C131" i="204"/>
  <c r="C132" i="204"/>
  <c r="C133" i="204"/>
  <c r="C134" i="204"/>
  <c r="C135" i="204"/>
  <c r="C136" i="204"/>
  <c r="C137" i="204"/>
  <c r="C138" i="204"/>
  <c r="C139" i="204"/>
  <c r="C140" i="204"/>
  <c r="C141" i="204"/>
  <c r="C142" i="204"/>
  <c r="C143" i="204"/>
  <c r="C144" i="204"/>
  <c r="C145" i="204"/>
  <c r="C146" i="204"/>
  <c r="C147" i="204"/>
  <c r="C148" i="204"/>
  <c r="C149" i="204"/>
  <c r="C150" i="204"/>
  <c r="C151" i="204"/>
  <c r="C152" i="204"/>
  <c r="C153" i="204"/>
  <c r="C154" i="204"/>
  <c r="C155" i="204"/>
  <c r="C156" i="204"/>
  <c r="C157" i="204"/>
  <c r="C158" i="204"/>
  <c r="C159" i="204"/>
  <c r="C160" i="204"/>
  <c r="C161" i="204"/>
  <c r="C162" i="204"/>
  <c r="C163" i="204"/>
  <c r="C164" i="204"/>
  <c r="C165" i="204"/>
  <c r="C166" i="204"/>
  <c r="C167" i="204"/>
  <c r="C168" i="204"/>
  <c r="C169" i="204"/>
  <c r="C170" i="204"/>
  <c r="C171" i="204"/>
  <c r="C172" i="204"/>
  <c r="C173" i="204"/>
  <c r="C174" i="204"/>
  <c r="C175" i="204"/>
  <c r="C176" i="204"/>
  <c r="C177" i="204"/>
  <c r="C178" i="204"/>
  <c r="C179" i="204"/>
  <c r="C180" i="204"/>
  <c r="C181" i="204"/>
  <c r="C182" i="204"/>
  <c r="C183" i="204"/>
  <c r="C184" i="204"/>
  <c r="C185" i="204"/>
  <c r="C186" i="204"/>
  <c r="C187" i="204"/>
  <c r="C188" i="204"/>
  <c r="C189" i="204"/>
  <c r="C190" i="204"/>
  <c r="C191" i="204"/>
  <c r="C192" i="204"/>
  <c r="C193" i="204"/>
  <c r="C194" i="204"/>
  <c r="C195" i="204"/>
  <c r="C196" i="204"/>
  <c r="C197" i="204"/>
  <c r="C198" i="204"/>
  <c r="C199" i="204"/>
  <c r="C200" i="204"/>
  <c r="C201" i="204"/>
  <c r="C202" i="204"/>
  <c r="C203" i="204"/>
  <c r="C204" i="204"/>
  <c r="C205" i="204"/>
  <c r="C206" i="204"/>
  <c r="C207" i="204"/>
  <c r="C208" i="204"/>
  <c r="C209" i="204"/>
  <c r="C210" i="204"/>
  <c r="C211" i="204"/>
  <c r="C212" i="204"/>
  <c r="C213" i="204"/>
  <c r="C214" i="204"/>
  <c r="C215" i="204"/>
  <c r="C216" i="204"/>
  <c r="C217" i="204"/>
  <c r="C218" i="204"/>
  <c r="C219" i="204"/>
  <c r="C220" i="204"/>
  <c r="C221" i="204"/>
  <c r="C222" i="204"/>
  <c r="C223" i="204"/>
  <c r="C224" i="204"/>
  <c r="C225" i="204"/>
  <c r="C226" i="204"/>
  <c r="C227" i="204"/>
  <c r="C228" i="204"/>
  <c r="C229" i="204"/>
  <c r="C230" i="204"/>
  <c r="C231" i="204"/>
  <c r="C232" i="204"/>
  <c r="C233" i="204"/>
  <c r="C234" i="204"/>
  <c r="C235" i="204"/>
  <c r="C236" i="204"/>
  <c r="C237" i="204"/>
  <c r="C238" i="204"/>
  <c r="C239" i="204"/>
  <c r="C240" i="204"/>
  <c r="C241" i="204"/>
  <c r="C242" i="204"/>
  <c r="C243" i="204"/>
  <c r="C244" i="204"/>
  <c r="C245" i="204"/>
  <c r="B7" i="202"/>
  <c r="C33" i="204"/>
  <c r="C64" i="204"/>
  <c r="C95" i="204"/>
  <c r="C3" i="204"/>
  <c r="C34" i="204"/>
  <c r="C65" i="204"/>
  <c r="C96" i="204"/>
  <c r="C4" i="204"/>
  <c r="C35" i="204"/>
  <c r="C66" i="204"/>
  <c r="C97" i="204"/>
  <c r="C5" i="204"/>
  <c r="C36" i="204"/>
  <c r="C67" i="204"/>
  <c r="C98" i="204"/>
  <c r="C6" i="204"/>
  <c r="C37" i="204"/>
  <c r="C68" i="204"/>
  <c r="C99" i="204"/>
  <c r="C7" i="204"/>
  <c r="C38" i="204"/>
  <c r="C69" i="204"/>
  <c r="C100" i="204"/>
  <c r="C8" i="204"/>
  <c r="C39" i="204"/>
  <c r="C70" i="204"/>
  <c r="C101" i="204"/>
  <c r="C9" i="204"/>
  <c r="C40" i="204"/>
  <c r="C71" i="204"/>
  <c r="C102" i="204"/>
  <c r="C10" i="204"/>
  <c r="C41" i="204"/>
  <c r="C72" i="204"/>
  <c r="C103" i="204"/>
  <c r="C11" i="204"/>
  <c r="C42" i="204"/>
  <c r="C73" i="204"/>
  <c r="C104" i="204"/>
  <c r="C12" i="204"/>
  <c r="C43" i="204"/>
  <c r="C74" i="204"/>
  <c r="C105" i="204"/>
  <c r="C13" i="204"/>
  <c r="C44" i="204"/>
  <c r="C75" i="204"/>
  <c r="C106" i="204"/>
  <c r="C14" i="204"/>
  <c r="C45" i="204"/>
  <c r="C76" i="204"/>
  <c r="C107" i="204"/>
  <c r="C15" i="204"/>
  <c r="C46" i="204"/>
  <c r="C77" i="204"/>
  <c r="C108" i="204"/>
  <c r="C16" i="204"/>
  <c r="C47" i="204"/>
  <c r="C78" i="204"/>
  <c r="C109" i="204"/>
  <c r="C17" i="204"/>
  <c r="C48" i="204"/>
  <c r="C79" i="204"/>
  <c r="C110" i="204"/>
  <c r="C18" i="204"/>
  <c r="C49" i="204"/>
  <c r="C80" i="204"/>
  <c r="C111" i="204"/>
  <c r="C19" i="204"/>
  <c r="C50" i="204"/>
  <c r="C81" i="204"/>
  <c r="C112" i="204"/>
  <c r="C20" i="204"/>
  <c r="C51" i="204"/>
  <c r="C82" i="204"/>
  <c r="C113" i="204"/>
  <c r="C21" i="204"/>
  <c r="C52" i="204"/>
  <c r="C83" i="204"/>
  <c r="C114" i="204"/>
  <c r="C22" i="204"/>
  <c r="C53" i="204"/>
  <c r="C84" i="204"/>
  <c r="C115" i="204"/>
  <c r="C23" i="204"/>
  <c r="C54" i="204"/>
  <c r="C85" i="204"/>
  <c r="C116" i="204"/>
  <c r="C24" i="204"/>
  <c r="C55" i="204"/>
  <c r="C86" i="204"/>
  <c r="C117" i="204"/>
  <c r="C25" i="204"/>
  <c r="C56" i="204"/>
  <c r="C87" i="204"/>
  <c r="C118" i="204"/>
  <c r="C26" i="204"/>
  <c r="C57" i="204"/>
  <c r="C88" i="204"/>
  <c r="C119" i="204"/>
  <c r="C27" i="204"/>
  <c r="C58" i="204"/>
  <c r="C89" i="204"/>
  <c r="C120" i="204"/>
  <c r="C28" i="204"/>
  <c r="C59" i="204"/>
  <c r="C90" i="204"/>
  <c r="C121" i="204"/>
  <c r="C29" i="204"/>
  <c r="C60" i="204"/>
  <c r="C91" i="204"/>
  <c r="C122" i="204"/>
  <c r="C30" i="204"/>
  <c r="C61" i="204"/>
  <c r="C92" i="204"/>
  <c r="C123" i="204"/>
  <c r="C31" i="204"/>
  <c r="C62" i="204"/>
  <c r="C93" i="204"/>
  <c r="C124" i="204"/>
  <c r="C32" i="204"/>
  <c r="C63" i="204"/>
  <c r="C94" i="204"/>
  <c r="C125" i="204"/>
  <c r="C2" i="204"/>
  <c r="P4" i="203"/>
  <c r="O4" i="203"/>
  <c r="N4" i="203"/>
  <c r="M4" i="203"/>
  <c r="L4" i="203"/>
  <c r="K4" i="203"/>
  <c r="J4" i="203"/>
  <c r="I4" i="203"/>
  <c r="H4" i="203"/>
  <c r="G4" i="203"/>
  <c r="F4" i="203"/>
  <c r="E4" i="203"/>
  <c r="D4" i="203"/>
  <c r="C4" i="203"/>
  <c r="A4" i="203"/>
  <c r="Q6" i="203"/>
  <c r="Q7" i="203"/>
  <c r="Q8" i="203"/>
  <c r="Q9" i="203"/>
  <c r="Q10" i="203"/>
  <c r="Q11" i="203"/>
  <c r="Q12" i="203"/>
  <c r="Q13" i="203"/>
  <c r="Q14" i="203"/>
  <c r="Q15" i="203"/>
  <c r="Q16" i="203"/>
  <c r="Q17" i="203"/>
  <c r="Q18" i="203"/>
  <c r="Q19" i="203"/>
  <c r="Q20" i="203"/>
  <c r="Q5" i="203"/>
  <c r="N7" i="202"/>
  <c r="J7" i="202"/>
  <c r="F11" i="202"/>
  <c r="F7" i="202"/>
  <c r="F12" i="202"/>
  <c r="J11" i="202"/>
  <c r="C4" i="202"/>
  <c r="B4" i="203"/>
  <c r="U12" i="203" l="1"/>
  <c r="U11" i="203"/>
  <c r="U9" i="203"/>
  <c r="U8" i="203"/>
  <c r="Q21" i="203"/>
  <c r="J13" i="202" l="1"/>
  <c r="F13" i="202"/>
</calcChain>
</file>

<file path=xl/sharedStrings.xml><?xml version="1.0" encoding="utf-8"?>
<sst xmlns="http://schemas.openxmlformats.org/spreadsheetml/2006/main" count="1543" uniqueCount="339">
  <si>
    <t>การจัดซื้ออุปกรณ์พร้อมดำเนินการติดตั้ง
โครงการเพิ่มประสิทธิภาพระบบโครงข่ายสื่อสารด้วยอุปกรณ์ทวนสัญญาณผ่านคลื่นความถี่สูง (SHF)
เพื่อสนับสนุนการปฏิบัติราชการและแก้ไขปัญหาให้กับประชาชนในพื้นที่ห่างไกล
สัญญาเลขที่ ๘๖๘๐๒๒๘ ลงวันที่ ๒๓ กรกฎาคม ๒๕๖๘</t>
  </si>
  <si>
    <t>รายงานสรุปสถานะระบบชุมสายประจำวัน / DAILY  SYSTEM STATUS REPORT</t>
  </si>
  <si>
    <t>วันที่</t>
  </si>
  <si>
    <t>ภาพรวมสถานะบริการทั้งระบบ</t>
  </si>
  <si>
    <t>ระบบศูนย์ควบคุมสถานีแม่ข่าย / 
Base Station Switching Center</t>
  </si>
  <si>
    <t>ระบบบริหารจัดการ (iMaster NCE Campus) / 
SD-WAN Controller</t>
  </si>
  <si>
    <t>ระบบบริหารจัดการชุดอุปกรณ์ทวนสัญญาณผ่านคลื่นความถี่สูง (iMaster NCE-T) / Microwave</t>
  </si>
  <si>
    <t>ชุดสั่งการ / Dispatcher</t>
  </si>
  <si>
    <t>สรุปงาน</t>
  </si>
  <si>
    <t>หัวข้อ</t>
  </si>
  <si>
    <t>ผลตรวจสอบ / Result</t>
  </si>
  <si>
    <t>ข้อความสรุป</t>
  </si>
  <si>
    <t>สถานะระบบรวม / Overall system status</t>
  </si>
  <si>
    <t>รายการตรวจสอบสถานีปลายทาง / Station checks</t>
  </si>
  <si>
    <t>ตรวจสอบสถานีและอุปกรณ์ตามรายการรายวัน / Station and equipment monitoring completed</t>
  </si>
  <si>
    <t>รายการรอแก้ไข / Pending corrections</t>
  </si>
  <si>
    <t xml:space="preserve">รายละเอียดผลการตรวจสอบสถานีและอุปกรณ์ชุมสาย / STATION &amp; EQUIPMENT CHECK DETAILS  </t>
  </si>
  <si>
    <t xml:space="preserve">ข้อมูลสถานะระบบ /SYSTEM STATUS INPUT </t>
  </si>
  <si>
    <t>ลำดับ</t>
  </si>
  <si>
    <t>ชื่อสถานี</t>
  </si>
  <si>
    <t>ไฟฟ้า</t>
  </si>
  <si>
    <t>สถานีแม่ข่าย</t>
  </si>
  <si>
    <t>อุปกรณ์กระจายสัญญาณ</t>
  </si>
  <si>
    <t>SD-WAN</t>
  </si>
  <si>
    <t>Microwave</t>
  </si>
  <si>
    <t>LINK</t>
  </si>
  <si>
    <t>กำลังรอการแก้ไข</t>
  </si>
  <si>
    <t>หมายเหตุ</t>
  </si>
  <si>
    <t>No. / ลำดับ</t>
  </si>
  <si>
    <t>System / ระบบ</t>
  </si>
  <si>
    <t>Monitoring scope / ขอบเขตการตรวจสอบ</t>
  </si>
  <si>
    <t>Status / สถานะ</t>
  </si>
  <si>
    <t>Customer message / ข้อความสำหรับแจ้งลูกค้า</t>
  </si>
  <si>
    <t>ปรับปรุงล่าสุด / Updated</t>
  </si>
  <si>
    <t>Electric</t>
  </si>
  <si>
    <t>VSWR &gt; 1.5</t>
  </si>
  <si>
    <t>Tx</t>
  </si>
  <si>
    <t>Rx</t>
  </si>
  <si>
    <t>Down</t>
  </si>
  <si>
    <t>CPRI Cable</t>
  </si>
  <si>
    <t>SFP</t>
  </si>
  <si>
    <t>Not stable</t>
  </si>
  <si>
    <t>BSSC</t>
  </si>
  <si>
    <t>ระบบศูนย์ควบคุมสถานีแม่ข่าย (Base Station Switching Center)</t>
  </si>
  <si>
    <t>ปกติ / Normal</t>
  </si>
  <si>
    <t>ให้บริการตามปกติ ไม่พบเหตุขัดข้อง / Normal operation; no incident found</t>
  </si>
  <si>
    <t>ระบบบริหารจัดการ (iMaster NCE Campus)</t>
  </si>
  <si>
    <t>BS-261</t>
  </si>
  <si>
    <t>BS หนองนกแก้ว</t>
  </si>
  <si>
    <t>ระบบบริหารจัดการชุดอุปกรณ์ทวนสัญญาณผ่านคลื่นความถี่สูง (iMaster NCE-T)</t>
  </si>
  <si>
    <t>BS-262</t>
  </si>
  <si>
    <t>BS ศรีสุขสำราญ</t>
  </si>
  <si>
    <t>Dispatcher</t>
  </si>
  <si>
    <t>ชุดสั่งการ</t>
  </si>
  <si>
    <t>BS-263</t>
  </si>
  <si>
    <t>Base station 8 station</t>
  </si>
  <si>
    <t>จำนวน</t>
  </si>
  <si>
    <t>BS-264</t>
  </si>
  <si>
    <t>Online</t>
  </si>
  <si>
    <t>BS-265</t>
  </si>
  <si>
    <t>BS วังงิ้ว</t>
  </si>
  <si>
    <t>Pending</t>
  </si>
  <si>
    <t>BS-266</t>
  </si>
  <si>
    <t xml:space="preserve">BS บ้านปางใหม่พัฒนา </t>
  </si>
  <si>
    <t>Analog Gateway 8 station</t>
  </si>
  <si>
    <t>BS-267</t>
  </si>
  <si>
    <t>BS ช่อง</t>
  </si>
  <si>
    <t>BS-268</t>
  </si>
  <si>
    <t>BS คลองพลู</t>
  </si>
  <si>
    <t>AGW</t>
  </si>
  <si>
    <t>ห้วยกระเจา</t>
  </si>
  <si>
    <t>คลองลาน</t>
  </si>
  <si>
    <t>เขาสวนกวาง</t>
  </si>
  <si>
    <t>ย่านตาขาว</t>
  </si>
  <si>
    <t>วังน้ำเขียว</t>
  </si>
  <si>
    <t>หัวไทร</t>
  </si>
  <si>
    <t>ดงเจริญ</t>
  </si>
  <si>
    <t>*** หมายเหตุ เช็คในช่องด้านบนเมื่อมีเหตุให้แก้ไขหรือพบข้อบกพร่อง</t>
  </si>
  <si>
    <t>System</t>
  </si>
  <si>
    <t>Date</t>
  </si>
  <si>
    <t>Online (100%)</t>
  </si>
  <si>
    <t>Down time(min)</t>
  </si>
  <si>
    <t>BS วัดบางอุดม</t>
  </si>
  <si>
    <t>ทุ่งกระบ่ำ</t>
  </si>
  <si>
    <t>เลาขวัญ</t>
  </si>
  <si>
    <t>กาญจนบุรี</t>
  </si>
  <si>
    <t>หนองนกแก้ว</t>
  </si>
  <si>
    <t>หนองประดู่</t>
  </si>
  <si>
    <t>วังไผ่</t>
  </si>
  <si>
    <t>สระลงเรือ</t>
  </si>
  <si>
    <t>ปางมะค่า</t>
  </si>
  <si>
    <t>ขาณุวรลักษบุรี</t>
  </si>
  <si>
    <t>กำแพงเพชร</t>
  </si>
  <si>
    <t>คลองลานพัฒนา</t>
  </si>
  <si>
    <t>ปางตาไว</t>
  </si>
  <si>
    <t>ปางศิลาทอง</t>
  </si>
  <si>
    <t>ดงเมืองแอม</t>
  </si>
  <si>
    <t>ขอนแก่น</t>
  </si>
  <si>
    <t>นางิ้ว</t>
  </si>
  <si>
    <t>โนนสมบูรณ์</t>
  </si>
  <si>
    <t>นาคำ</t>
  </si>
  <si>
    <t>อุบลรัตน์</t>
  </si>
  <si>
    <t>ศรีสุขสำราญ</t>
  </si>
  <si>
    <t>ขุนซ่อง</t>
  </si>
  <si>
    <t>แก่งหางแมว</t>
  </si>
  <si>
    <t>จันทบุรี</t>
  </si>
  <si>
    <t>คลองพลู</t>
  </si>
  <si>
    <t>เขาคิชฌกูฏ</t>
  </si>
  <si>
    <t>จันทเขลม</t>
  </si>
  <si>
    <t>ตะเคียนทอง</t>
  </si>
  <si>
    <t>โคกสะบ้า</t>
  </si>
  <si>
    <t>นาโยง</t>
  </si>
  <si>
    <t>ตรัง</t>
  </si>
  <si>
    <t>ช่อง</t>
  </si>
  <si>
    <t>ละมอ</t>
  </si>
  <si>
    <t>นาชุมเห็ด</t>
  </si>
  <si>
    <t>โพรงจระเข้</t>
  </si>
  <si>
    <t>วังกะทะ</t>
  </si>
  <si>
    <t>ปากช่อง</t>
  </si>
  <si>
    <t>นครราชสีมา</t>
  </si>
  <si>
    <t>ระเริง</t>
  </si>
  <si>
    <t>วังหมี</t>
  </si>
  <si>
    <t>เสือหึง</t>
  </si>
  <si>
    <t>เชียรใหญ่</t>
  </si>
  <si>
    <t>นครศรีธรรมราช</t>
  </si>
  <si>
    <t>ขนาบนาก</t>
  </si>
  <si>
    <t>ปากพนัง</t>
  </si>
  <si>
    <t>ปากแพรก</t>
  </si>
  <si>
    <t>เกาะเพชร</t>
  </si>
  <si>
    <t>หมู่ 1 เสือหึง</t>
  </si>
  <si>
    <t>ท่าซอม</t>
  </si>
  <si>
    <t>ทุ่งทอง</t>
  </si>
  <si>
    <t>หนองบัว</t>
  </si>
  <si>
    <t>นครสวรรค์</t>
  </si>
  <si>
    <t>พิจิตร</t>
  </si>
  <si>
    <t>ซับพุทรา</t>
  </si>
  <si>
    <t>ชนแดน</t>
  </si>
  <si>
    <t>เพชรบูรณ์</t>
  </si>
  <si>
    <t>บ้านกล้วย</t>
  </si>
  <si>
    <t>ลาดแค</t>
  </si>
  <si>
    <t>บัววัฒนา</t>
  </si>
  <si>
    <t>หนองไผ่</t>
  </si>
  <si>
    <t>ลำดับ TOR</t>
  </si>
  <si>
    <t>หมู่บ้าน</t>
  </si>
  <si>
    <t>ตำบล</t>
  </si>
  <si>
    <t>อำเภอ</t>
  </si>
  <si>
    <t>จังหวัด</t>
  </si>
  <si>
    <t>หมู่ 13 หนองจิกน้ำดำ</t>
  </si>
  <si>
    <t>หมู่ 6 สี่กั๊ก</t>
  </si>
  <si>
    <t>หมู่ 7 หนองปลิง</t>
  </si>
  <si>
    <t>หมู่ 8 ชัฎดงพลับ</t>
  </si>
  <si>
    <t>หมู่ 2 หนองเค็ด</t>
  </si>
  <si>
    <t>หมู่ 4 หนองจั่น</t>
  </si>
  <si>
    <t>หมู่ 5 หนองขบ</t>
  </si>
  <si>
    <t>หมู่ 9 หนองข่อย</t>
  </si>
  <si>
    <t>หมู่ 10 หนองมะสังข์</t>
  </si>
  <si>
    <t>หมู่ 11 หนองตาเกิด</t>
  </si>
  <si>
    <t>หมู่ 3 ตลุงเหนือ</t>
  </si>
  <si>
    <t>หมู่ 5 หนองปรือ</t>
  </si>
  <si>
    <t>หมู่ 6 น้ำโจน</t>
  </si>
  <si>
    <t>หมู่ 8 หนองแกแดง</t>
  </si>
  <si>
    <t>หมู่ 9 เหียงงาม</t>
  </si>
  <si>
    <t>หมู่ 1 หนองมะเขือ</t>
  </si>
  <si>
    <t>หมู่ 10 หนองโก</t>
  </si>
  <si>
    <t>หมู่ 11 วังสมบูรณ์</t>
  </si>
  <si>
    <t>หมู่ 2 วังมะค่า</t>
  </si>
  <si>
    <t>หมู่ 3 นาตามิ่ง</t>
  </si>
  <si>
    <t>หมู่ 4 วังไผ่</t>
  </si>
  <si>
    <t>หมู่ 5 นาใหม่</t>
  </si>
  <si>
    <t>หมู่ 6 หนองตายอด</t>
  </si>
  <si>
    <t>หมู่ 7 หนองมะสังข์</t>
  </si>
  <si>
    <t>หมู่ 9 บ่อทอง</t>
  </si>
  <si>
    <t>หมู่ 12 กรอกตาโพธิ์</t>
  </si>
  <si>
    <t>หมู่ 13 หนองปลอดภัย</t>
  </si>
  <si>
    <t>หมู่ 6 ห้วยลึก</t>
  </si>
  <si>
    <t>หมู่ 7 หนองเจริญสุข</t>
  </si>
  <si>
    <t>หมู่ 9 ดงรัง</t>
  </si>
  <si>
    <t>หมู่ 16 บ้านศรีเกษตรพัฒนา</t>
  </si>
  <si>
    <t>หมู่ 17 บ้านทรัพย์เจริญ</t>
  </si>
  <si>
    <t>หมู่ 11 บ้านมอสมบูรณ์</t>
  </si>
  <si>
    <t>หมู่ 21 บ้านใหม่ธงชัย</t>
  </si>
  <si>
    <t>หมู่ 6 บ้านเกาะแก้ว</t>
  </si>
  <si>
    <t>หมู่ 19 บ้านศรีสมบูรณ์</t>
  </si>
  <si>
    <t>หมู่ 12 มอตะแบก</t>
  </si>
  <si>
    <t>หมู่ 4 ปากคลองลาน</t>
  </si>
  <si>
    <t>หมู่ 1 ไพรสวรรค์</t>
  </si>
  <si>
    <t>หมู่ 10 ปางใหม่พัฒนา</t>
  </si>
  <si>
    <t>หมู่ 2 คลองลึกพัฒนา</t>
  </si>
  <si>
    <t>หมู่ 3 เพชรเจริญ</t>
  </si>
  <si>
    <t>หมู่ 4 ปางตาไว</t>
  </si>
  <si>
    <t>หมู่ 5 ตากฟ้า</t>
  </si>
  <si>
    <t>หมู่ 6 ปางเหนือ</t>
  </si>
  <si>
    <t>หมู่ 9 เพชรมงคล</t>
  </si>
  <si>
    <t>หมู่ 11 คำเจริญ</t>
  </si>
  <si>
    <t>หมู่ 12 คำแคน</t>
  </si>
  <si>
    <t>หมู่ 6 โคกสูง</t>
  </si>
  <si>
    <t>หมู่ 7 หนองแวงเรือ</t>
  </si>
  <si>
    <t>หมู่ 3 โนนสวรรค์</t>
  </si>
  <si>
    <t>หมู่ 4 แสงสว่าง</t>
  </si>
  <si>
    <t>หมู่ 6 ขามป้อม</t>
  </si>
  <si>
    <t>หมู่ 10 วังน้ำทิพย์</t>
  </si>
  <si>
    <t>หมู่ 2 โนนสมบูรณ์</t>
  </si>
  <si>
    <t>หมู่ 3 คำป่าก่อ</t>
  </si>
  <si>
    <t>หมู่ 4 โนนเจริญ</t>
  </si>
  <si>
    <t>หมู่ 5 หัวฝาย</t>
  </si>
  <si>
    <t>หมู่ 10 หนองแวง</t>
  </si>
  <si>
    <t>หมู่ 12 นาคำน้อย</t>
  </si>
  <si>
    <t>หมู่ 13 หนองแวงใหม่</t>
  </si>
  <si>
    <t>หมู่ 2 โนนราศรี</t>
  </si>
  <si>
    <t>หมู่ 4 หนองไหล</t>
  </si>
  <si>
    <t>หมู่ 9 หนองขาม</t>
  </si>
  <si>
    <t>หมู่ 1 ศรีสุข</t>
  </si>
  <si>
    <t>หมู่ 10 บ้านสำราญเหนือ</t>
  </si>
  <si>
    <t>หมู่ 2 สำราญ</t>
  </si>
  <si>
    <t>หมู่ 3 โนนศิลา</t>
  </si>
  <si>
    <t>หมู่ 5 โคกกลาง</t>
  </si>
  <si>
    <t>หมู่ 6 หนองแสง</t>
  </si>
  <si>
    <t>หมู่ 7 ศาลาดิน</t>
  </si>
  <si>
    <t>หมู่ 8 โนนเจริญ</t>
  </si>
  <si>
    <t>หมู่ 9 ห้วยเตย</t>
  </si>
  <si>
    <t>หมู่ 10 วังแจง</t>
  </si>
  <si>
    <t>หมู่ 10 วังยายมุก</t>
  </si>
  <si>
    <t>หมู่ 3 น้ำขุ่น</t>
  </si>
  <si>
    <t>หมู่ 4 คลองพลู</t>
  </si>
  <si>
    <t>หมู่ 5 คลองพลู</t>
  </si>
  <si>
    <t>หมู่ 6 ทุ่งกบินทร์</t>
  </si>
  <si>
    <t>หมู่ 8 หลังเนิน</t>
  </si>
  <si>
    <t>หมู่ 1 คลองใหญ่</t>
  </si>
  <si>
    <t>หมู่ 2 จันทเขลม</t>
  </si>
  <si>
    <t>หมู่ 3 สะท้อน</t>
  </si>
  <si>
    <t>หมู่ 4 คลองชีพ</t>
  </si>
  <si>
    <t>หมู่ 5 จันตาแป๊ะ</t>
  </si>
  <si>
    <t>หมู่ 6 คลองชม</t>
  </si>
  <si>
    <t>หมู่ 7 คลองชัน</t>
  </si>
  <si>
    <t>หมู่ 8 จันตาแป๊ะ</t>
  </si>
  <si>
    <t>หมู่ 6 ชำเคราะห์</t>
  </si>
  <si>
    <t>หมู่ 3 ไร่หลวง</t>
  </si>
  <si>
    <t>หมู่ 1 ช่อง</t>
  </si>
  <si>
    <t>หมู่ 2 ห้วยลึก</t>
  </si>
  <si>
    <t>หมู่ 3 หนักไทร</t>
  </si>
  <si>
    <t>หมู่ 4 ใสขนุน</t>
  </si>
  <si>
    <t>หมู่ 5 กรงไหน</t>
  </si>
  <si>
    <t>หมู่ 6 ทุ่งใหญ่</t>
  </si>
  <si>
    <t>หมู่ 7 ไสท้อน</t>
  </si>
  <si>
    <t>หมู่ 3 คลองลำปริง</t>
  </si>
  <si>
    <t>หมู่ 8 บ้านเหมกน้อย</t>
  </si>
  <si>
    <t>หมู่ 1 ไทรงาม</t>
  </si>
  <si>
    <t>หมู่ 2 ควนหิน</t>
  </si>
  <si>
    <t>หมู่ 4 ลำพิกุล</t>
  </si>
  <si>
    <t>หมู่ 8 บ้านลำขนุน</t>
  </si>
  <si>
    <t>หมู่ 9 โคกโดน</t>
  </si>
  <si>
    <t>หมู่ 1 ยูงงาม</t>
  </si>
  <si>
    <t>หมู่ 7 โหละคล้า</t>
  </si>
  <si>
    <t>หมู่ 1 ป่าไผ่แดง</t>
  </si>
  <si>
    <t>หมู่ 10 เขาแก้ว</t>
  </si>
  <si>
    <t>หมู่ 14 ดอนสว่าง</t>
  </si>
  <si>
    <t>หมู่ 17 ป่าตะเคียน</t>
  </si>
  <si>
    <t>หมู่ 20 โนนทอง</t>
  </si>
  <si>
    <t>หมู่ 6 วังตะเคียนทอง</t>
  </si>
  <si>
    <t>หมู่ 7 คลองป่าหมู</t>
  </si>
  <si>
    <t>หมู่ 8 คลองอีเฒ่า</t>
  </si>
  <si>
    <t>หมู่ 9 วังกะโล่</t>
  </si>
  <si>
    <t>หมู่ 12 คลองดินดำ</t>
  </si>
  <si>
    <t>หมู่ 13 วังสัปรด</t>
  </si>
  <si>
    <t>หมู่ 14 วังขอน</t>
  </si>
  <si>
    <t>หมู่ 5 คลองกุ่ม</t>
  </si>
  <si>
    <t>หมู่ 12 สันกำแพง</t>
  </si>
  <si>
    <t>หมู่ 13 หนองไม้แดง</t>
  </si>
  <si>
    <t>หมู่ 14 อุบลพัฒนา</t>
  </si>
  <si>
    <t>หมู่ 17 บุกระทิง</t>
  </si>
  <si>
    <t>หมู่ 18 คลองนกแก้ว</t>
  </si>
  <si>
    <t>หมู่ 2 ท่าวังไทร</t>
  </si>
  <si>
    <t>หมู่ 21 วังไผ่ทอง</t>
  </si>
  <si>
    <t>หมู่ 3 คลองใบพัด</t>
  </si>
  <si>
    <t>หมู่ 4 ยุบอีปูน</t>
  </si>
  <si>
    <t>หมู่ 5 คลองสะท้อน</t>
  </si>
  <si>
    <t>หมู่ 6 โนนสาวเอ้</t>
  </si>
  <si>
    <t>หมู่ 9 บางปรง</t>
  </si>
  <si>
    <t>หมู่ 1 ขนาบนาก</t>
  </si>
  <si>
    <t>หมู่ 2 ป่าขลู</t>
  </si>
  <si>
    <t>หมู่ 3 บางวุ่น</t>
  </si>
  <si>
    <t>หมู่ 5 ปากช่อง</t>
  </si>
  <si>
    <t>หมู่ 4 ท่านา</t>
  </si>
  <si>
    <t>หมู่ 7 สระศรีเมือง</t>
  </si>
  <si>
    <t>หมู่ 10 หัวดอน</t>
  </si>
  <si>
    <t>หมู่ 6 บางมะขาม</t>
  </si>
  <si>
    <t>หมู่ 8 บางตะลุมพอ</t>
  </si>
  <si>
    <t>หมู่ 9 น้ำทรัพย์</t>
  </si>
  <si>
    <t>หมู่ 7 เกาะทัง</t>
  </si>
  <si>
    <t>ท่าพยา</t>
  </si>
  <si>
    <t>หมู่ 10 ริมเขื่อน</t>
  </si>
  <si>
    <t>หมู่ 4 เสือร้อง</t>
  </si>
  <si>
    <t>หมู่ 3 บางพระ</t>
  </si>
  <si>
    <t>หมู่ 2 นานอก</t>
  </si>
  <si>
    <t>หมู่ 4 เนินหนองหงส์</t>
  </si>
  <si>
    <t>หมู่ 8 ย่านยาว</t>
  </si>
  <si>
    <t>หมู่ 5 ด่าน</t>
  </si>
  <si>
    <t>หมู่ 1 ทุ่งทอง</t>
  </si>
  <si>
    <t>หมู่ 11 สระตายม</t>
  </si>
  <si>
    <t>หมู่ 13 หนองลก</t>
  </si>
  <si>
    <t>หมู่ 14 สายฝน</t>
  </si>
  <si>
    <t>หมู่ 3 ไทรงาม</t>
  </si>
  <si>
    <t>หมู่ 4 บ้านวังงิ้ว</t>
  </si>
  <si>
    <t>วังงิ้ว</t>
  </si>
  <si>
    <t>หมู่ 5 บ้านวังเรือน</t>
  </si>
  <si>
    <t>หมู่ 6 บ้านวังกะทะ</t>
  </si>
  <si>
    <t>หมู่ 7 บ้านใหม่วังเรือง</t>
  </si>
  <si>
    <t>หมู่ 5 โคกสาร</t>
  </si>
  <si>
    <t>หมู่ 13 กล้วยงาม</t>
  </si>
  <si>
    <t>หมู่ 3 กล้วย</t>
  </si>
  <si>
    <t>หมู่ 1 บ้านลาดแค</t>
  </si>
  <si>
    <t>หมู่ 10 โคกหนองจอก</t>
  </si>
  <si>
    <t>หมู่ 11 คลองบน</t>
  </si>
  <si>
    <t>หมู่ 12 ซับยาง</t>
  </si>
  <si>
    <t>หมู่ 13 บ้านวังกำแพง</t>
  </si>
  <si>
    <t>หมู่ 14 บ้านหนองใหญ่โต</t>
  </si>
  <si>
    <t>หมู่ 16 ดงลานใต้</t>
  </si>
  <si>
    <t>หมู่ 17 บ้านคลองโป่ง</t>
  </si>
  <si>
    <t>หมู่ 18 เขาปูน</t>
  </si>
  <si>
    <t>หมู่ 19 ศรีรัตนะ</t>
  </si>
  <si>
    <t>หมู่ 2 ดงลาน</t>
  </si>
  <si>
    <t>หมู่ 20 คลองบนใต้</t>
  </si>
  <si>
    <t>หมู่ 21 ซับตะเคียน</t>
  </si>
  <si>
    <t>หมู่ 4 เขาน้อย</t>
  </si>
  <si>
    <t>หมู่ 6 โคกยาว</t>
  </si>
  <si>
    <t>หมู่ 7 ถ้ำแก้ว</t>
  </si>
  <si>
    <t>หมู่ 8 หนองใหญ่</t>
  </si>
  <si>
    <t>หมู่ 9 ลาดแคเหนือ</t>
  </si>
  <si>
    <t>หมู่ 8 ลำประสาน</t>
  </si>
  <si>
    <t>BS บ้านคลองป่าหมู</t>
  </si>
  <si>
    <t>ที่ว่าการอำเภอห้วยกระเจา</t>
  </si>
  <si>
    <t>ที่ว่าการอำเภอคลองลาน</t>
  </si>
  <si>
    <t>ที่ว่าการอำเภอเขาสวนกวาง</t>
  </si>
  <si>
    <t>ที่ว่าการอำเภอเขาคิชฌกูฎ</t>
  </si>
  <si>
    <t>ที่ว่าการอำเภอย่านตาขาว</t>
  </si>
  <si>
    <t>ที่ว่าการอำเภอวังน้ำเขียว</t>
  </si>
  <si>
    <t>ที่ว่าการอำเภอหัวไทร</t>
  </si>
  <si>
    <t>ที่ว่าการอำเภอดงเจริญ</t>
  </si>
  <si>
    <r>
      <t xml:space="preserve">สถานะ
</t>
    </r>
    <r>
      <rPr>
        <sz val="12"/>
        <color rgb="FF000000"/>
        <rFont val="TH Sarabun New"/>
        <family val="2"/>
      </rPr>
      <t>OFLINE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</si>
</sst>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107041E]d\ mmmm\ yyyy;@"/>
    <numFmt numFmtId="166" formatCode="0.00&quot;%&quot;"/>
  </numFmts>
  <fonts count="35">
    <font>
      <sz val="11"/>
      <color indexed="8"/>
      <name val="Tahoma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Tahoma"/>
      <family val="2"/>
    </font>
    <font>
      <sz val="11"/>
      <color theme="1"/>
      <name val="Calibri"/>
      <family val="2"/>
    </font>
    <font>
      <sz val="10"/>
      <name val="Arial"/>
      <family val="2"/>
    </font>
    <font>
      <i/>
      <sz val="11"/>
      <color indexed="23"/>
      <name val="Tahoma"/>
      <family val="2"/>
    </font>
    <font>
      <sz val="10"/>
      <name val="Arial"/>
      <family val="2"/>
    </font>
    <font>
      <b/>
      <sz val="13"/>
      <color theme="1" tint="0.24994659260841701"/>
      <name val="Calibri Light"/>
      <family val="2"/>
    </font>
    <font>
      <sz val="11"/>
      <color indexed="8"/>
      <name val="TH Sarabun New"/>
      <family val="2"/>
    </font>
    <font>
      <sz val="28"/>
      <name val="TH Sarabun New"/>
      <family val="2"/>
    </font>
    <font>
      <i/>
      <sz val="14"/>
      <color rgb="FF666666"/>
      <name val="TH Sarabun New"/>
      <family val="2"/>
    </font>
    <font>
      <b/>
      <sz val="14"/>
      <color rgb="FFFFFFFF"/>
      <name val="TH Sarabun New"/>
      <family val="2"/>
    </font>
    <font>
      <b/>
      <sz val="14"/>
      <color rgb="FF17365D"/>
      <name val="TH Sarabun New"/>
      <family val="2"/>
    </font>
    <font>
      <sz val="14"/>
      <color indexed="8"/>
      <name val="TH Sarabun New"/>
      <family val="2"/>
    </font>
    <font>
      <sz val="14"/>
      <color rgb="FF666666"/>
      <name val="TH Sarabun New"/>
      <family val="2"/>
    </font>
    <font>
      <sz val="14"/>
      <name val="TH Sarabun New"/>
      <family val="2"/>
    </font>
    <font>
      <b/>
      <sz val="14"/>
      <color indexed="8"/>
      <name val="TH Sarabun New"/>
      <family val="2"/>
    </font>
    <font>
      <sz val="10"/>
      <name val="TH SarabunIT๙"/>
      <family val="2"/>
    </font>
    <font>
      <b/>
      <sz val="13"/>
      <name val="TH SarabunIT๙"/>
      <family val="2"/>
    </font>
    <font>
      <b/>
      <sz val="14"/>
      <name val="TH SarabunIT๙"/>
      <family val="2"/>
    </font>
    <font>
      <b/>
      <sz val="14"/>
      <name val="TH Sarabun New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17365D"/>
      <name val="Calibri"/>
      <family val="2"/>
      <scheme val="minor"/>
    </font>
    <font>
      <sz val="11"/>
      <color indexed="8"/>
      <name val="Aptos"/>
      <family val="2"/>
    </font>
    <font>
      <sz val="14"/>
      <name val="TH SarabunIT๙"/>
      <family val="2"/>
    </font>
    <font>
      <b/>
      <sz val="11"/>
      <color rgb="FFFFFFFF"/>
      <name val="Aptos"/>
      <family val="2"/>
    </font>
    <font>
      <sz val="16"/>
      <color theme="1"/>
      <name val="TH Sarabun New"/>
      <family val="2"/>
    </font>
    <font>
      <sz val="16"/>
      <color rgb="FF000000"/>
      <name val="TH Sarabun New"/>
      <family val="2"/>
    </font>
    <font>
      <b/>
      <sz val="16"/>
      <color theme="1"/>
      <name val="TH Sarabun New"/>
      <family val="2"/>
    </font>
    <font>
      <b/>
      <sz val="16"/>
      <color indexed="8"/>
      <name val="TH Sarabun New"/>
      <family val="2"/>
    </font>
    <font>
      <sz val="12"/>
      <color rgb="FF000000"/>
      <name val="TH Sarabun Ne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EEF4FA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D9E2F3"/>
      </right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auto="1"/>
      </left>
      <right/>
      <top style="thin">
        <color rgb="FFB7C9D6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rgb="FFB7C9D6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4" fillId="0" borderId="0"/>
    <xf numFmtId="0" fontId="5" fillId="0" borderId="0"/>
    <xf numFmtId="0" fontId="6" fillId="0" borderId="0"/>
    <xf numFmtId="0" fontId="4" fillId="0" borderId="0"/>
    <xf numFmtId="0" fontId="4" fillId="0" borderId="0"/>
    <xf numFmtId="0" fontId="7" fillId="0" borderId="0"/>
    <xf numFmtId="0" fontId="8" fillId="0" borderId="0" applyNumberFormat="0" applyFill="0" applyBorder="0" applyAlignment="0" applyProtection="0"/>
    <xf numFmtId="164" fontId="9" fillId="0" borderId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0" fillId="0" borderId="0" applyFill="0" applyBorder="0" applyProtection="0">
      <alignment horizontal="left" wrapText="1"/>
    </xf>
    <xf numFmtId="0" fontId="1" fillId="0" borderId="0"/>
  </cellStyleXfs>
  <cellXfs count="83">
    <xf numFmtId="0" fontId="0" fillId="0" borderId="0" xfId="0"/>
    <xf numFmtId="0" fontId="11" fillId="0" borderId="0" xfId="0" applyFont="1"/>
    <xf numFmtId="14" fontId="11" fillId="0" borderId="0" xfId="0" applyNumberFormat="1" applyFont="1"/>
    <xf numFmtId="0" fontId="12" fillId="2" borderId="0" xfId="0" applyFont="1" applyFill="1" applyAlignment="1">
      <alignment horizontal="center" vertical="center" wrapText="1"/>
    </xf>
    <xf numFmtId="14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vertical="center" wrapText="1"/>
    </xf>
    <xf numFmtId="0" fontId="13" fillId="4" borderId="0" xfId="0" applyFont="1" applyFill="1" applyAlignment="1">
      <alignment horizontal="center" vertical="center"/>
    </xf>
    <xf numFmtId="0" fontId="16" fillId="0" borderId="0" xfId="0" applyFont="1"/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5" fillId="5" borderId="0" xfId="0" applyFont="1" applyFill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16" fillId="0" borderId="2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6" borderId="0" xfId="0" applyFont="1" applyFill="1" applyAlignment="1">
      <alignment horizontal="center" vertical="center" wrapText="1"/>
    </xf>
    <xf numFmtId="0" fontId="0" fillId="7" borderId="0" xfId="0" applyFill="1"/>
    <xf numFmtId="0" fontId="16" fillId="0" borderId="7" xfId="0" applyFont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65" fontId="18" fillId="4" borderId="0" xfId="0" applyNumberFormat="1" applyFont="1" applyFill="1" applyAlignment="1">
      <alignment vertical="center"/>
    </xf>
    <xf numFmtId="0" fontId="20" fillId="8" borderId="0" xfId="15" applyFont="1" applyFill="1" applyAlignment="1">
      <alignment vertical="center"/>
    </xf>
    <xf numFmtId="0" fontId="21" fillId="8" borderId="0" xfId="15" applyFont="1" applyFill="1" applyAlignment="1">
      <alignment vertical="center" wrapText="1"/>
    </xf>
    <xf numFmtId="0" fontId="22" fillId="8" borderId="0" xfId="15" applyFont="1" applyFill="1" applyAlignment="1">
      <alignment horizontal="center" vertical="center"/>
    </xf>
    <xf numFmtId="0" fontId="16" fillId="0" borderId="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5" borderId="0" xfId="0" applyFont="1" applyFill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166" fontId="24" fillId="0" borderId="0" xfId="0" applyNumberFormat="1" applyFont="1" applyAlignment="1">
      <alignment horizontal="center" vertical="center"/>
    </xf>
    <xf numFmtId="0" fontId="24" fillId="0" borderId="1" xfId="0" applyFont="1" applyBorder="1" applyAlignment="1">
      <alignment vertical="center"/>
    </xf>
    <xf numFmtId="15" fontId="2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left" vertical="center"/>
    </xf>
    <xf numFmtId="0" fontId="29" fillId="9" borderId="15" xfId="0" applyFont="1" applyFill="1" applyBorder="1"/>
    <xf numFmtId="0" fontId="27" fillId="10" borderId="16" xfId="0" applyFont="1" applyFill="1" applyBorder="1"/>
    <xf numFmtId="0" fontId="27" fillId="10" borderId="17" xfId="0" applyFont="1" applyFill="1" applyBorder="1"/>
    <xf numFmtId="0" fontId="29" fillId="9" borderId="18" xfId="0" applyFont="1" applyFill="1" applyBorder="1"/>
    <xf numFmtId="1" fontId="27" fillId="0" borderId="19" xfId="0" applyNumberFormat="1" applyFont="1" applyBorder="1"/>
    <xf numFmtId="1" fontId="27" fillId="0" borderId="20" xfId="0" applyNumberFormat="1" applyFont="1" applyBorder="1"/>
    <xf numFmtId="0" fontId="11" fillId="0" borderId="0" xfId="0" applyFont="1" applyAlignment="1">
      <alignment vertical="center"/>
    </xf>
    <xf numFmtId="0" fontId="30" fillId="0" borderId="21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/>
    </xf>
    <xf numFmtId="0" fontId="30" fillId="0" borderId="21" xfId="0" applyFont="1" applyBorder="1" applyAlignment="1">
      <alignment horizontal="left" vertical="center"/>
    </xf>
    <xf numFmtId="0" fontId="32" fillId="0" borderId="21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left" vertical="center"/>
    </xf>
    <xf numFmtId="0" fontId="11" fillId="0" borderId="2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21" fillId="8" borderId="0" xfId="15" applyFont="1" applyFill="1" applyAlignment="1">
      <alignment horizontal="center" vertical="center" wrapText="1"/>
    </xf>
    <xf numFmtId="0" fontId="28" fillId="8" borderId="0" xfId="15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15" fillId="5" borderId="8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14" fontId="24" fillId="0" borderId="0" xfId="0" applyNumberFormat="1" applyFont="1" applyAlignment="1">
      <alignment horizontal="center" vertical="center"/>
    </xf>
  </cellXfs>
  <cellStyles count="16">
    <cellStyle name="Activity" xfId="14" xr:uid="{00000000-0005-0000-0000-000000000000}"/>
    <cellStyle name="Comma 2" xfId="8" xr:uid="{00000000-0005-0000-0000-000001000000}"/>
    <cellStyle name="Excel Built-in Normal" xfId="6" xr:uid="{00000000-0005-0000-0000-000002000000}"/>
    <cellStyle name="Explanatory Text 2" xfId="7" xr:uid="{00000000-0005-0000-0000-000003000000}"/>
    <cellStyle name="Normal" xfId="0" builtinId="0"/>
    <cellStyle name="Normal 14" xfId="1" xr:uid="{00000000-0005-0000-0000-000005000000}"/>
    <cellStyle name="Normal 14 2" xfId="9" xr:uid="{00000000-0005-0000-0000-000006000000}"/>
    <cellStyle name="Normal 14 3" xfId="10" xr:uid="{00000000-0005-0000-0000-000007000000}"/>
    <cellStyle name="Normal 14 3 2" xfId="11" xr:uid="{00000000-0005-0000-0000-000008000000}"/>
    <cellStyle name="Normal 15" xfId="5" xr:uid="{00000000-0005-0000-0000-000009000000}"/>
    <cellStyle name="Normal 2" xfId="13" xr:uid="{00000000-0005-0000-0000-00000A000000}"/>
    <cellStyle name="Normal 2 4" xfId="3" xr:uid="{00000000-0005-0000-0000-00000B000000}"/>
    <cellStyle name="Normal 3" xfId="15" xr:uid="{00000000-0005-0000-0000-00000C000000}"/>
    <cellStyle name="Normal 3 5" xfId="2" xr:uid="{00000000-0005-0000-0000-00000D000000}"/>
    <cellStyle name="Normal 4 4" xfId="4" xr:uid="{00000000-0005-0000-0000-00000E000000}"/>
    <cellStyle name="Normal 4 4 2" xfId="12" xr:uid="{00000000-0005-0000-0000-00000F000000}"/>
  </cellStyles>
  <dxfs count="9">
    <dxf>
      <font>
        <color auto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BSSC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Log'!$B$2:$B$32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Log'!$C$2:$C$32</c:f>
              <c:numCache>
                <c:formatCode>0.00"%"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99.791666666666671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99.722222222222229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9-46C0-AB3E-AA917B6D1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545031"/>
        <c:axId val="2036547079"/>
      </c:lineChart>
      <c:dateAx>
        <c:axId val="2036545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47079"/>
        <c:crosses val="autoZero"/>
        <c:auto val="0"/>
        <c:lblOffset val="100"/>
        <c:baseTimeUnit val="days"/>
        <c:majorUnit val="2"/>
        <c:majorTimeUnit val="days"/>
      </c:dateAx>
      <c:valAx>
        <c:axId val="2036547079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45031"/>
        <c:crosses val="autoZero"/>
        <c:crossBetween val="between"/>
        <c:majorUnit val="1"/>
        <c:minorUnit val="0.4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SD-WAN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Log'!$B$33:$B$63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Log'!$C$33:$C$63</c:f>
              <c:numCache>
                <c:formatCode>0.00"%"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B-4A90-98AF-AB1B047A4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7372935"/>
        <c:axId val="2037374983"/>
      </c:lineChart>
      <c:dateAx>
        <c:axId val="203737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74983"/>
        <c:crosses val="autoZero"/>
        <c:auto val="0"/>
        <c:lblOffset val="100"/>
        <c:baseTimeUnit val="days"/>
        <c:majorUnit val="2"/>
        <c:majorTimeUnit val="days"/>
      </c:dateAx>
      <c:valAx>
        <c:axId val="2037374983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7293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Microwave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Log'!$B$64:$B$94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Log'!$C$64:$C$94</c:f>
              <c:numCache>
                <c:formatCode>0.00"%"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99.652777777777786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0-4FC5-B040-DC3752E49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873031"/>
        <c:axId val="2040075783"/>
      </c:lineChart>
      <c:dateAx>
        <c:axId val="2039873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075783"/>
        <c:crosses val="autoZero"/>
        <c:auto val="0"/>
        <c:lblOffset val="100"/>
        <c:baseTimeUnit val="days"/>
        <c:majorUnit val="2"/>
        <c:majorTimeUnit val="days"/>
      </c:dateAx>
      <c:valAx>
        <c:axId val="2040075783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873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Dispatcher — Online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Online (%)</c:v>
          </c:tx>
          <c:spPr>
            <a:ln w="28575" cap="rnd">
              <a:solidFill>
                <a:srgbClr val="BF7C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'Event Log'!$B$95:$B$125</c:f>
              <c:numCache>
                <c:formatCode>d\-mmm\-yy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'Event Log'!$C$95:$C$125</c:f>
              <c:numCache>
                <c:formatCode>0.00"%"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99.305555555555557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8-4E87-BE2A-F8E97B9DE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873479"/>
        <c:axId val="2040875527"/>
      </c:lineChart>
      <c:dateAx>
        <c:axId val="2040873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75527"/>
        <c:crosses val="autoZero"/>
        <c:auto val="0"/>
        <c:lblOffset val="100"/>
        <c:baseTimeUnit val="days"/>
        <c:majorUnit val="2"/>
        <c:majorTimeUnit val="days"/>
      </c:dateAx>
      <c:valAx>
        <c:axId val="2040875527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Online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7347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station 8 station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A7-4805-8AAE-7CA68F5BEE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A7-4805-8AAE-7CA68F5BEE6F}"/>
              </c:ext>
            </c:extLst>
          </c:dPt>
          <c:dLbls>
            <c:numFmt formatCode="0" sourceLinked="0"/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Overview!$T$8:$T$9</c:f>
              <c:strCache>
                <c:ptCount val="2"/>
                <c:pt idx="0">
                  <c:v>Online</c:v>
                </c:pt>
                <c:pt idx="1">
                  <c:v>Pending</c:v>
                </c:pt>
              </c:strCache>
            </c:strRef>
          </c:cat>
          <c:val>
            <c:numRef>
              <c:f>Overview!$U$8:$U$9</c:f>
              <c:numCache>
                <c:formatCode>0</c:formatCode>
                <c:ptCount val="2"/>
                <c:pt idx="0">
                  <c:v>7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A7-4805-8AAE-7CA68F5BE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Gateway 8 station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6D-47EE-B705-8A0AB9AC13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6D-47EE-B705-8A0AB9AC13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Overview!$T$11:$T$12</c:f>
              <c:strCache>
                <c:ptCount val="2"/>
                <c:pt idx="0">
                  <c:v>Online</c:v>
                </c:pt>
                <c:pt idx="1">
                  <c:v>Pending</c:v>
                </c:pt>
              </c:strCache>
            </c:strRef>
          </c:cat>
          <c:val>
            <c:numRef>
              <c:f>Overview!$U$11:$U$12</c:f>
              <c:numCache>
                <c:formatCode>0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6D-47EE-B705-8A0AB9AC1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518160</xdr:colOff>
      <xdr:row>0</xdr:row>
      <xdr:rowOff>106680</xdr:rowOff>
    </xdr:from>
    <xdr:to>
      <xdr:col>2</xdr:col>
      <xdr:colOff>244828</xdr:colOff>
      <xdr:row>1</xdr:row>
      <xdr:rowOff>42107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E4C02D-21B5-4BBA-B7B1-7D016BCC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" y="335280"/>
          <a:ext cx="542008" cy="842206"/>
        </a:xfrm>
        <a:prstGeom prst="rect">
          <a:avLst/>
        </a:prstGeom>
      </xdr:spPr>
    </xdr:pic>
    <xdr:clientData/>
  </xdr:twoCellAnchor>
  <xdr:twoCellAnchor editAs="oneCell">
    <xdr:from>
      <xdr:col>15</xdr:col>
      <xdr:colOff>396240</xdr:colOff>
      <xdr:row>0</xdr:row>
      <xdr:rowOff>327660</xdr:rowOff>
    </xdr:from>
    <xdr:to>
      <xdr:col>16</xdr:col>
      <xdr:colOff>504316</xdr:colOff>
      <xdr:row>0</xdr:row>
      <xdr:rowOff>588023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A50019-DBB5-4825-896E-A1C4097A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87200" y="556260"/>
          <a:ext cx="923416" cy="26036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8</xdr:col>
      <xdr:colOff>400050</xdr:colOff>
      <xdr:row>29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B7D6130-7DAF-4623-827D-7B2E9EC291CC}"/>
            </a:ext>
            <a:ext uri="{147F2762-F138-4A5C-976F-8EAC2B608ADB}">
              <a16:predDERef xmlns:a16="http://schemas.microsoft.com/office/drawing/2014/main" pred="{21A50019-DBB5-4825-896E-A1C4097AC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16</xdr:col>
      <xdr:colOff>438150</xdr:colOff>
      <xdr:row>29</xdr:row>
      <xdr:rowOff>190500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7FB15E-F073-4200-9504-2FF22F0D8CD0}"/>
            </a:ext>
            <a:ext uri="{147F2762-F138-4A5C-976F-8EAC2B608ADB}">
              <a16:predDERef xmlns:a16="http://schemas.microsoft.com/office/drawing/2014/main" pred="{CB7D6130-7DAF-4623-827D-7B2E9EC29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8</xdr:col>
      <xdr:colOff>400050</xdr:colOff>
      <xdr:row>37</xdr:row>
      <xdr:rowOff>190500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E6EF6CD-3E74-4257-BD4C-5A011F917FB4}"/>
            </a:ext>
            <a:ext uri="{147F2762-F138-4A5C-976F-8EAC2B608ADB}">
              <a16:predDERef xmlns:a16="http://schemas.microsoft.com/office/drawing/2014/main" pred="{9A7FB15E-F073-4200-9504-2FF22F0D8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30</xdr:row>
      <xdr:rowOff>0</xdr:rowOff>
    </xdr:from>
    <xdr:to>
      <xdr:col>16</xdr:col>
      <xdr:colOff>438150</xdr:colOff>
      <xdr:row>37</xdr:row>
      <xdr:rowOff>190500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ED8F7BB-C644-4CE5-BD78-4C215859AE82}"/>
            </a:ext>
            <a:ext uri="{147F2762-F138-4A5C-976F-8EAC2B608ADB}">
              <a16:predDERef xmlns:a16="http://schemas.microsoft.com/office/drawing/2014/main" pred="{4E6EF6CD-3E74-4257-BD4C-5A011F917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14</xdr:row>
      <xdr:rowOff>0</xdr:rowOff>
    </xdr:from>
    <xdr:to>
      <xdr:col>8</xdr:col>
      <xdr:colOff>419100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38754-ECA4-4864-8824-13C6BFBFC3D2}"/>
            </a:ext>
            <a:ext uri="{147F2762-F138-4A5C-976F-8EAC2B608ADB}">
              <a16:predDERef xmlns:a16="http://schemas.microsoft.com/office/drawing/2014/main" pred="{8ED8F7BB-C644-4CE5-BD78-4C215859A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16</xdr:col>
      <xdr:colOff>438150</xdr:colOff>
      <xdr:row>21</xdr:row>
      <xdr:rowOff>142875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AACA8C4-7FD6-4B19-B86B-D6D8ADD6F30B}"/>
            </a:ext>
            <a:ext uri="{147F2762-F138-4A5C-976F-8EAC2B608ADB}">
              <a16:predDERef xmlns:a16="http://schemas.microsoft.com/office/drawing/2014/main" pred="{0C338754-ECA4-4864-8824-13C6BFBFC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B1:X336"/>
  <sheetViews>
    <sheetView tabSelected="1" zoomScale="85" zoomScaleNormal="85" zoomScaleSheetLayoutView="70" workbookViewId="0">
      <selection activeCell="V2" sqref="V2"/>
    </sheetView>
  </sheetViews>
  <sheetFormatPr defaultColWidth="9" defaultRowHeight="42"/>
  <cols>
    <col min="1" max="1" width="2.69921875" style="1" customWidth="1"/>
    <col min="2" max="2" width="10.69921875" style="3" customWidth="1"/>
    <col min="3" max="3" width="12.59765625" style="4" bestFit="1" customWidth="1"/>
    <col min="4" max="4" width="10.69921875" style="5" customWidth="1"/>
    <col min="5" max="9" width="10.69921875" style="1" customWidth="1"/>
    <col min="10" max="10" width="10.69921875" style="5" customWidth="1"/>
    <col min="11" max="14" width="10.69921875" style="1" customWidth="1"/>
    <col min="15" max="17" width="10.69921875" style="6" customWidth="1"/>
    <col min="18" max="18" width="5.19921875" style="1" customWidth="1"/>
    <col min="19" max="16384" width="9" style="1"/>
  </cols>
  <sheetData>
    <row r="1" spans="2:24" ht="71.400000000000006" customHeight="1">
      <c r="B1" s="30"/>
      <c r="C1" s="31"/>
      <c r="D1" s="70" t="s">
        <v>0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2"/>
      <c r="Q1" s="32"/>
      <c r="U1" s="69"/>
      <c r="V1" s="69"/>
      <c r="W1" s="69"/>
      <c r="X1" s="30"/>
    </row>
    <row r="2" spans="2:24" ht="25.2" customHeight="1"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spans="2:24" ht="31.95" customHeight="1">
      <c r="B3" s="72" t="s">
        <v>1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</row>
    <row r="4" spans="2:24" ht="21">
      <c r="B4" s="28" t="s">
        <v>2</v>
      </c>
      <c r="C4" s="29">
        <f ca="1">TODAY()</f>
        <v>46301</v>
      </c>
      <c r="D4" s="21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2:24" ht="21">
      <c r="B5" s="77" t="s">
        <v>3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</row>
    <row r="6" spans="2:24" ht="39.6" customHeight="1">
      <c r="B6" s="74" t="s">
        <v>4</v>
      </c>
      <c r="C6" s="74"/>
      <c r="D6" s="74"/>
      <c r="E6" s="74"/>
      <c r="F6" s="73" t="s">
        <v>5</v>
      </c>
      <c r="G6" s="73"/>
      <c r="H6" s="73"/>
      <c r="I6" s="73"/>
      <c r="J6" s="73" t="s">
        <v>6</v>
      </c>
      <c r="K6" s="73"/>
      <c r="L6" s="73"/>
      <c r="M6" s="73"/>
      <c r="N6" s="76" t="s">
        <v>7</v>
      </c>
      <c r="O6" s="76"/>
      <c r="P6" s="76"/>
      <c r="Q6" s="76"/>
    </row>
    <row r="7" spans="2:24" ht="16.95" customHeight="1">
      <c r="B7" s="75" t="str">
        <f>" สถานะ : "&amp;Overview!$W$3</f>
        <v xml:space="preserve"> สถานะ : ปกติ / Normal</v>
      </c>
      <c r="C7" s="75"/>
      <c r="D7" s="75"/>
      <c r="E7" s="75"/>
      <c r="F7" s="75" t="str">
        <f>" สถานะ : "&amp;Overview!$W$4</f>
        <v xml:space="preserve"> สถานะ : ปกติ / Normal</v>
      </c>
      <c r="G7" s="75"/>
      <c r="H7" s="75"/>
      <c r="I7" s="75"/>
      <c r="J7" s="75" t="str">
        <f>" สถานะ : "&amp;Overview!$W$5</f>
        <v xml:space="preserve"> สถานะ : ปกติ / Normal</v>
      </c>
      <c r="K7" s="75"/>
      <c r="L7" s="75"/>
      <c r="M7" s="75"/>
      <c r="N7" s="75" t="str">
        <f>" สถานะ : "&amp;Overview!$W$6</f>
        <v xml:space="preserve"> สถานะ : ปกติ / Normal</v>
      </c>
      <c r="O7" s="75"/>
      <c r="P7" s="75"/>
      <c r="Q7" s="75"/>
    </row>
    <row r="8" spans="2:24" ht="21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</row>
    <row r="9" spans="2:24" ht="27" customHeight="1">
      <c r="B9" s="65" t="s">
        <v>8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</row>
    <row r="10" spans="2:24" ht="27" customHeight="1">
      <c r="B10" s="66" t="s">
        <v>9</v>
      </c>
      <c r="C10" s="66"/>
      <c r="D10" s="66"/>
      <c r="E10" s="66"/>
      <c r="F10" s="67" t="s">
        <v>10</v>
      </c>
      <c r="G10" s="68"/>
      <c r="H10" s="68"/>
      <c r="I10" s="68"/>
      <c r="J10" s="66" t="s">
        <v>11</v>
      </c>
      <c r="K10" s="66"/>
      <c r="L10" s="66"/>
      <c r="M10" s="66"/>
      <c r="N10" s="66"/>
      <c r="O10" s="66"/>
      <c r="P10" s="66"/>
      <c r="Q10" s="66"/>
    </row>
    <row r="11" spans="2:24" ht="25.2" customHeight="1">
      <c r="B11" s="62" t="s">
        <v>12</v>
      </c>
      <c r="C11" s="62"/>
      <c r="D11" s="62"/>
      <c r="E11" s="62"/>
      <c r="F11" s="63" t="str">
        <f>IF(COUNTIF(Overview!$W$3:$W$6,"ขัดข้อง / Down")=0,"ปกติ / Normal","มีเหตุขัดข้อง / Down")</f>
        <v>ปกติ / Normal</v>
      </c>
      <c r="G11" s="64"/>
      <c r="H11" s="64"/>
      <c r="I11" s="64"/>
      <c r="J11" s="62" t="str">
        <f>IF(COUNTIF(Overview!$W$3:$W$5,"Down / ขัดข้อง")=0,"ระบบให้บริการตามปกติ / All systems operate normally","Action required: see system status sheet / มีระบบที่ต้องเร่งตรวจสอบ โปรดดูชีตข้อมูลสถานะระบบ")</f>
        <v>ระบบให้บริการตามปกติ / All systems operate normally</v>
      </c>
      <c r="K11" s="62"/>
      <c r="L11" s="62"/>
      <c r="M11" s="62"/>
      <c r="N11" s="62"/>
      <c r="O11" s="62"/>
      <c r="P11" s="62"/>
      <c r="Q11" s="62"/>
    </row>
    <row r="12" spans="2:24" ht="25.2" customHeight="1">
      <c r="B12" s="62" t="s">
        <v>13</v>
      </c>
      <c r="C12" s="62"/>
      <c r="D12" s="62"/>
      <c r="E12" s="62"/>
      <c r="F12" s="63" t="str">
        <f>COUNTA(Overview!$A$5:$A$20)&amp;" จุด  "</f>
        <v xml:space="preserve">16 จุด  </v>
      </c>
      <c r="G12" s="64"/>
      <c r="H12" s="64"/>
      <c r="I12" s="64"/>
      <c r="J12" s="62" t="s">
        <v>14</v>
      </c>
      <c r="K12" s="62"/>
      <c r="L12" s="62"/>
      <c r="M12" s="62"/>
      <c r="N12" s="62"/>
      <c r="O12" s="62"/>
      <c r="P12" s="62"/>
      <c r="Q12" s="62"/>
    </row>
    <row r="13" spans="2:24" ht="25.2" customHeight="1">
      <c r="B13" s="62" t="s">
        <v>15</v>
      </c>
      <c r="C13" s="62"/>
      <c r="D13" s="62"/>
      <c r="E13" s="62"/>
      <c r="F13" s="63" t="str">
        <f>Overview!$Q21&amp;" รายการ / items"</f>
        <v>1 รายการ / items</v>
      </c>
      <c r="G13" s="64"/>
      <c r="H13" s="64"/>
      <c r="I13" s="64"/>
      <c r="J13" s="62" t="str">
        <f>IF(Overview!$Q21=0,"ไม่มีรายการรอแก้ไข / No pending","มีรายการติดตามในชีตรายละเอียดจุดตรวจสอบ / See Station Details for follow-up")</f>
        <v>มีรายการติดตามในชีตรายละเอียดจุดตรวจสอบ / See Station Details for follow-up</v>
      </c>
      <c r="K13" s="62"/>
      <c r="L13" s="62"/>
      <c r="M13" s="62"/>
      <c r="N13" s="62"/>
      <c r="O13" s="62"/>
      <c r="P13" s="62"/>
      <c r="Q13" s="62"/>
    </row>
    <row r="14" spans="2:24" ht="25.2" customHeight="1">
      <c r="B14" s="43"/>
      <c r="C14" s="43"/>
      <c r="D14" s="43"/>
      <c r="E14" s="43"/>
      <c r="F14" s="44"/>
      <c r="G14" s="44"/>
      <c r="H14" s="44"/>
      <c r="I14" s="44"/>
      <c r="J14" s="43"/>
      <c r="K14" s="43"/>
      <c r="L14" s="43"/>
      <c r="M14" s="43"/>
      <c r="N14" s="43"/>
      <c r="O14" s="43"/>
      <c r="P14" s="43"/>
      <c r="Q14" s="43"/>
    </row>
    <row r="15" spans="2:24" ht="25.2" customHeight="1">
      <c r="B15" s="43"/>
      <c r="C15" s="43"/>
      <c r="D15" s="43"/>
      <c r="E15" s="43"/>
      <c r="F15" s="44"/>
      <c r="G15" s="44"/>
      <c r="H15" s="44"/>
      <c r="I15" s="44"/>
      <c r="J15" s="43"/>
      <c r="K15" s="43"/>
      <c r="L15" s="43"/>
      <c r="M15" s="43"/>
      <c r="N15" s="43"/>
      <c r="O15" s="43"/>
      <c r="P15" s="43"/>
      <c r="Q15" s="43"/>
    </row>
    <row r="16" spans="2:24" ht="27" customHeight="1">
      <c r="B16" s="8"/>
      <c r="C16" s="1"/>
      <c r="D16" s="2"/>
      <c r="J16" s="1"/>
      <c r="O16" s="1"/>
      <c r="P16" s="1"/>
      <c r="Q16" s="1"/>
    </row>
    <row r="17" spans="2:17" ht="25.2" customHeight="1">
      <c r="B17" s="43"/>
      <c r="C17" s="43"/>
      <c r="D17" s="43"/>
      <c r="E17" s="43"/>
      <c r="F17" s="44"/>
      <c r="G17" s="44"/>
      <c r="H17" s="44"/>
      <c r="I17" s="44"/>
      <c r="J17" s="43"/>
      <c r="K17" s="43"/>
      <c r="L17" s="43"/>
      <c r="M17" s="43"/>
      <c r="N17" s="43"/>
      <c r="O17" s="43"/>
      <c r="P17" s="43"/>
      <c r="Q17" s="43"/>
    </row>
    <row r="18" spans="2:17" ht="25.2" customHeight="1">
      <c r="B18" s="43"/>
      <c r="C18" s="43"/>
      <c r="D18" s="43"/>
      <c r="E18" s="43"/>
      <c r="F18" s="44"/>
      <c r="G18" s="44"/>
      <c r="H18" s="44"/>
      <c r="I18" s="44"/>
      <c r="J18" s="43"/>
      <c r="K18" s="43"/>
      <c r="L18" s="43"/>
      <c r="M18" s="43"/>
      <c r="N18" s="43"/>
      <c r="O18" s="43"/>
      <c r="P18" s="43"/>
      <c r="Q18" s="43"/>
    </row>
    <row r="19" spans="2:17" ht="25.2" customHeight="1">
      <c r="B19" s="43"/>
      <c r="C19" s="43"/>
      <c r="D19" s="43"/>
      <c r="E19" s="43"/>
      <c r="F19" s="44"/>
      <c r="G19" s="44"/>
      <c r="H19" s="44"/>
      <c r="I19" s="44"/>
      <c r="J19" s="43"/>
      <c r="K19" s="43"/>
      <c r="L19" s="43"/>
      <c r="M19" s="43"/>
      <c r="N19" s="43"/>
      <c r="O19" s="43"/>
      <c r="P19" s="43"/>
      <c r="Q19" s="43"/>
    </row>
    <row r="20" spans="2:17" ht="27" customHeight="1">
      <c r="B20" s="8"/>
      <c r="C20" s="1"/>
      <c r="D20" s="2"/>
      <c r="J20" s="1"/>
      <c r="O20" s="1"/>
      <c r="P20" s="1"/>
      <c r="Q20" s="1"/>
    </row>
    <row r="21" spans="2:17" ht="27" customHeight="1">
      <c r="B21" s="8"/>
      <c r="C21" s="1"/>
      <c r="D21" s="2"/>
      <c r="J21" s="1"/>
      <c r="O21" s="1"/>
      <c r="P21" s="1"/>
      <c r="Q21" s="1"/>
    </row>
    <row r="22" spans="2:17" ht="27" customHeight="1">
      <c r="B22" s="8"/>
      <c r="C22" s="1"/>
      <c r="D22" s="2"/>
      <c r="J22" s="1"/>
      <c r="O22" s="1"/>
      <c r="P22" s="1"/>
      <c r="Q22" s="1"/>
    </row>
    <row r="23" spans="2:17" ht="27" customHeight="1">
      <c r="E23" s="2"/>
    </row>
    <row r="24" spans="2:17" ht="27" customHeight="1"/>
    <row r="25" spans="2:17" ht="27" customHeight="1"/>
    <row r="26" spans="2:17" ht="27" customHeight="1"/>
    <row r="27" spans="2:17" ht="27" customHeight="1"/>
    <row r="28" spans="2:17" ht="27" customHeight="1"/>
    <row r="29" spans="2:17" ht="27" customHeight="1"/>
    <row r="30" spans="2:17" ht="27" customHeight="1"/>
    <row r="31" spans="2:17" ht="27" customHeight="1"/>
    <row r="32" spans="2:17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  <row r="121" ht="27" customHeight="1"/>
    <row r="122" ht="27" customHeight="1"/>
    <row r="123" ht="27" customHeight="1"/>
    <row r="124" ht="27" customHeight="1"/>
    <row r="125" ht="27" customHeight="1"/>
    <row r="126" ht="27" customHeight="1"/>
    <row r="127" ht="27" customHeight="1"/>
    <row r="128" ht="27" customHeight="1"/>
    <row r="129" ht="27" customHeight="1"/>
    <row r="130" ht="27" customHeight="1"/>
    <row r="131" ht="27" customHeight="1"/>
    <row r="132" ht="27" customHeight="1"/>
    <row r="133" ht="27" customHeight="1"/>
    <row r="134" ht="27" customHeight="1"/>
    <row r="135" ht="27" customHeight="1"/>
    <row r="136" ht="27" customHeight="1"/>
    <row r="137" ht="27" customHeight="1"/>
    <row r="138" ht="27" customHeight="1"/>
    <row r="139" ht="27" customHeight="1"/>
    <row r="140" ht="27" customHeight="1"/>
    <row r="141" ht="27" customHeight="1"/>
    <row r="142" ht="27" customHeight="1"/>
    <row r="143" ht="27" customHeight="1"/>
    <row r="144" ht="27" customHeight="1"/>
    <row r="145" ht="27" customHeight="1"/>
    <row r="146" ht="27" customHeight="1"/>
    <row r="147" ht="27" customHeight="1"/>
    <row r="148" ht="27" customHeight="1"/>
    <row r="149" ht="27" customHeight="1"/>
    <row r="150" ht="27" customHeight="1"/>
    <row r="151" ht="27" customHeight="1"/>
    <row r="152" ht="27" customHeight="1"/>
    <row r="153" ht="27" customHeight="1"/>
    <row r="154" ht="27" customHeight="1"/>
    <row r="155" ht="27" customHeight="1"/>
    <row r="156" ht="27" customHeight="1"/>
    <row r="157" ht="27" customHeight="1"/>
    <row r="158" ht="27" customHeight="1"/>
    <row r="159" ht="27" customHeight="1"/>
    <row r="160" ht="27" customHeight="1"/>
    <row r="161" ht="27" customHeight="1"/>
    <row r="162" ht="27" customHeight="1"/>
    <row r="163" ht="27" customHeight="1"/>
    <row r="164" ht="27" customHeight="1"/>
    <row r="165" ht="27" customHeight="1"/>
    <row r="166" ht="27" customHeight="1"/>
    <row r="167" ht="27" customHeight="1"/>
    <row r="168" ht="27" customHeight="1"/>
    <row r="169" ht="27" customHeight="1"/>
    <row r="170" ht="27" customHeight="1"/>
    <row r="171" ht="27" customHeight="1"/>
    <row r="172" ht="27" customHeight="1"/>
    <row r="173" ht="27" customHeight="1"/>
    <row r="174" ht="27" customHeight="1"/>
    <row r="175" ht="27" customHeight="1"/>
    <row r="176" ht="27" customHeight="1"/>
    <row r="177" ht="27" customHeight="1"/>
    <row r="178" ht="27" customHeight="1"/>
    <row r="179" ht="27" customHeight="1"/>
    <row r="180" ht="27" customHeight="1"/>
    <row r="181" ht="27" customHeight="1"/>
    <row r="182" ht="27" customHeight="1"/>
    <row r="183" ht="27" customHeight="1"/>
    <row r="184" ht="27" customHeight="1"/>
    <row r="185" ht="27" customHeight="1"/>
    <row r="186" ht="27" customHeight="1"/>
    <row r="187" ht="27" customHeight="1"/>
    <row r="188" ht="27" customHeight="1"/>
    <row r="189" ht="27" customHeight="1"/>
    <row r="190" ht="27" customHeight="1"/>
    <row r="191" ht="27" customHeight="1"/>
    <row r="192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7" customHeight="1"/>
    <row r="251" ht="27" customHeight="1"/>
    <row r="252" ht="27" customHeight="1"/>
    <row r="253" ht="27" customHeight="1"/>
    <row r="254" ht="27" customHeight="1"/>
    <row r="255" ht="27" customHeight="1"/>
    <row r="256" ht="27" customHeight="1"/>
    <row r="257" ht="27" customHeight="1"/>
    <row r="258" ht="27" customHeight="1"/>
    <row r="259" ht="27" customHeight="1"/>
    <row r="260" ht="27" customHeight="1"/>
    <row r="261" ht="27" customHeight="1"/>
    <row r="262" ht="27" customHeight="1"/>
    <row r="263" ht="27" customHeight="1"/>
    <row r="264" ht="27" customHeight="1"/>
    <row r="265" ht="27" customHeight="1"/>
    <row r="266" ht="27" customHeight="1"/>
    <row r="267" ht="27" customHeight="1"/>
    <row r="268" ht="27" customHeight="1"/>
    <row r="269" ht="27" customHeight="1"/>
    <row r="270" ht="27" customHeight="1"/>
    <row r="271" ht="27" customHeight="1"/>
    <row r="272" ht="27" customHeight="1"/>
    <row r="273" ht="27" customHeight="1"/>
    <row r="274" ht="27" customHeight="1"/>
    <row r="275" ht="27" customHeight="1"/>
    <row r="276" ht="27" customHeight="1"/>
    <row r="277" ht="27" customHeight="1"/>
    <row r="278" ht="27" customHeight="1"/>
    <row r="279" ht="27" customHeight="1"/>
    <row r="280" ht="27" customHeight="1"/>
    <row r="281" ht="27" customHeight="1"/>
    <row r="282" ht="27" customHeight="1"/>
    <row r="283" ht="27" customHeight="1"/>
    <row r="284" ht="27" customHeight="1"/>
    <row r="285" ht="27" customHeight="1"/>
    <row r="286" ht="27" customHeight="1"/>
    <row r="287" ht="27" customHeight="1"/>
    <row r="288" ht="27" customHeight="1"/>
    <row r="289" ht="27" customHeight="1"/>
    <row r="290" ht="27" customHeight="1"/>
    <row r="291" ht="27" customHeight="1"/>
    <row r="292" ht="27" customHeight="1"/>
    <row r="293" ht="27" customHeight="1"/>
    <row r="294" ht="27" customHeight="1"/>
    <row r="295" ht="27" customHeight="1"/>
    <row r="296" ht="27" customHeight="1"/>
    <row r="297" ht="27" customHeight="1"/>
    <row r="298" ht="27" customHeight="1"/>
    <row r="299" ht="27" customHeight="1"/>
    <row r="300" ht="27" customHeight="1"/>
    <row r="301" ht="27" customHeight="1"/>
    <row r="302" ht="27" customHeight="1"/>
    <row r="303" ht="27" customHeight="1"/>
    <row r="304" ht="27" customHeight="1"/>
    <row r="305" ht="27" customHeight="1"/>
    <row r="306" ht="27" customHeight="1"/>
    <row r="307" ht="27" customHeight="1"/>
    <row r="308" ht="27" customHeight="1"/>
    <row r="309" ht="27" customHeight="1"/>
    <row r="310" ht="27" customHeight="1"/>
    <row r="311" ht="27" customHeight="1"/>
    <row r="312" ht="27" customHeight="1"/>
    <row r="313" ht="27" customHeight="1"/>
    <row r="314" ht="27" customHeight="1"/>
    <row r="315" ht="27" customHeight="1"/>
    <row r="316" ht="27" customHeight="1"/>
    <row r="317" ht="27" customHeight="1"/>
    <row r="318" ht="27" customHeight="1"/>
    <row r="319" ht="27" customHeight="1"/>
    <row r="320" ht="27" customHeight="1"/>
    <row r="321" ht="27" customHeight="1"/>
    <row r="322" ht="27" customHeight="1"/>
    <row r="323" ht="27" customHeight="1"/>
    <row r="324" ht="27" customHeight="1"/>
    <row r="325" ht="27" customHeight="1"/>
    <row r="326" ht="27" customHeight="1"/>
    <row r="327" ht="27" customHeight="1"/>
    <row r="328" ht="27" customHeight="1"/>
    <row r="329" ht="27" customHeight="1"/>
    <row r="330" ht="27" customHeight="1"/>
    <row r="331" ht="27" customHeight="1"/>
    <row r="332" ht="27" customHeight="1"/>
    <row r="333" ht="27" customHeight="1"/>
    <row r="334" ht="27" customHeight="1"/>
    <row r="335" ht="27" customHeight="1"/>
    <row r="336" ht="27" customHeight="1"/>
  </sheetData>
  <mergeCells count="26">
    <mergeCell ref="U1:W1"/>
    <mergeCell ref="D1:O1"/>
    <mergeCell ref="B2:Q2"/>
    <mergeCell ref="B12:E12"/>
    <mergeCell ref="F12:I12"/>
    <mergeCell ref="J12:Q12"/>
    <mergeCell ref="B3:Q3"/>
    <mergeCell ref="F6:I6"/>
    <mergeCell ref="B6:E6"/>
    <mergeCell ref="J6:M6"/>
    <mergeCell ref="B7:E7"/>
    <mergeCell ref="F7:I7"/>
    <mergeCell ref="J7:M7"/>
    <mergeCell ref="N6:Q6"/>
    <mergeCell ref="N7:Q7"/>
    <mergeCell ref="B5:Q5"/>
    <mergeCell ref="B13:E13"/>
    <mergeCell ref="F13:I13"/>
    <mergeCell ref="J13:Q13"/>
    <mergeCell ref="B9:Q9"/>
    <mergeCell ref="B10:E10"/>
    <mergeCell ref="F10:I10"/>
    <mergeCell ref="J10:Q10"/>
    <mergeCell ref="B11:E11"/>
    <mergeCell ref="F11:I11"/>
    <mergeCell ref="J11:Q11"/>
  </mergeCells>
  <conditionalFormatting sqref="B5:B8">
    <cfRule type="duplicateValues" dxfId="8" priority="34"/>
  </conditionalFormatting>
  <conditionalFormatting sqref="F11:I11">
    <cfRule type="containsText" dxfId="7" priority="2" operator="containsText" text="Normal"/>
    <cfRule type="containsText" dxfId="6" priority="3" operator="containsText" text="Down"/>
  </conditionalFormatting>
  <pageMargins left="0.7" right="0.7" top="0.75" bottom="0.75" header="0.3" footer="0.3"/>
  <pageSetup paperSize="9" scale="6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showGridLines="0" zoomScale="85" zoomScaleNormal="85" workbookViewId="0">
      <selection activeCell="R13" sqref="R13"/>
    </sheetView>
  </sheetViews>
  <sheetFormatPr defaultRowHeight="13.8"/>
  <cols>
    <col min="1" max="1" width="12" customWidth="1"/>
    <col min="2" max="2" width="23" customWidth="1"/>
    <col min="3" max="16" width="10" customWidth="1"/>
    <col min="17" max="17" width="18" customWidth="1"/>
    <col min="18" max="18" width="22" customWidth="1"/>
    <col min="20" max="20" width="48.3984375" bestFit="1" customWidth="1"/>
    <col min="21" max="21" width="16.5" bestFit="1" customWidth="1"/>
    <col min="22" max="22" width="52.59765625" bestFit="1" customWidth="1"/>
    <col min="23" max="23" width="12.5" bestFit="1" customWidth="1"/>
    <col min="24" max="24" width="53.19921875" bestFit="1" customWidth="1"/>
    <col min="25" max="25" width="20.09765625" bestFit="1" customWidth="1"/>
  </cols>
  <sheetData>
    <row r="1" spans="1:25" ht="28.2" customHeight="1">
      <c r="A1" s="72" t="s">
        <v>16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T1" s="9" t="s">
        <v>17</v>
      </c>
      <c r="U1" s="9"/>
      <c r="V1" s="9"/>
      <c r="W1" s="72"/>
      <c r="X1" s="72"/>
      <c r="Y1" s="10"/>
    </row>
    <row r="2" spans="1:25" ht="25.95" customHeight="1">
      <c r="A2" s="34" t="s">
        <v>18</v>
      </c>
      <c r="B2" s="34" t="s">
        <v>19</v>
      </c>
      <c r="C2" s="16" t="s">
        <v>20</v>
      </c>
      <c r="D2" s="79" t="s">
        <v>21</v>
      </c>
      <c r="E2" s="80"/>
      <c r="F2" s="80"/>
      <c r="G2" s="81"/>
      <c r="H2" s="78" t="s">
        <v>22</v>
      </c>
      <c r="I2" s="78"/>
      <c r="J2" s="78"/>
      <c r="K2" s="79" t="s">
        <v>23</v>
      </c>
      <c r="L2" s="80"/>
      <c r="M2" s="79" t="s">
        <v>24</v>
      </c>
      <c r="N2" s="80"/>
      <c r="O2" s="78" t="s">
        <v>25</v>
      </c>
      <c r="P2" s="78"/>
      <c r="Q2" s="15" t="s">
        <v>26</v>
      </c>
      <c r="R2" s="15" t="s">
        <v>27</v>
      </c>
      <c r="T2" s="11" t="s">
        <v>28</v>
      </c>
      <c r="U2" s="11" t="s">
        <v>29</v>
      </c>
      <c r="V2" s="11" t="s">
        <v>30</v>
      </c>
      <c r="W2" s="11" t="s">
        <v>31</v>
      </c>
      <c r="X2" s="11" t="s">
        <v>32</v>
      </c>
      <c r="Y2" s="11" t="s">
        <v>33</v>
      </c>
    </row>
    <row r="3" spans="1:25" ht="25.95" customHeight="1">
      <c r="A3" s="15"/>
      <c r="B3" s="15"/>
      <c r="C3" s="16" t="s">
        <v>34</v>
      </c>
      <c r="D3" s="16" t="s">
        <v>35</v>
      </c>
      <c r="E3" s="16" t="s">
        <v>36</v>
      </c>
      <c r="F3" s="16" t="s">
        <v>37</v>
      </c>
      <c r="G3" s="16" t="s">
        <v>38</v>
      </c>
      <c r="H3" s="16" t="s">
        <v>39</v>
      </c>
      <c r="I3" s="16" t="s">
        <v>40</v>
      </c>
      <c r="J3" s="16" t="s">
        <v>38</v>
      </c>
      <c r="K3" s="16" t="s">
        <v>41</v>
      </c>
      <c r="L3" s="16" t="s">
        <v>38</v>
      </c>
      <c r="M3" s="16" t="s">
        <v>41</v>
      </c>
      <c r="N3" s="16" t="s">
        <v>38</v>
      </c>
      <c r="O3" s="16" t="s">
        <v>41</v>
      </c>
      <c r="P3" s="16" t="s">
        <v>38</v>
      </c>
      <c r="Q3" s="15"/>
      <c r="R3" s="15"/>
      <c r="T3" s="12">
        <v>1</v>
      </c>
      <c r="U3" s="14" t="s">
        <v>42</v>
      </c>
      <c r="V3" s="13" t="s">
        <v>43</v>
      </c>
      <c r="W3" s="12" t="s">
        <v>44</v>
      </c>
      <c r="X3" s="13" t="s">
        <v>45</v>
      </c>
      <c r="Y3" s="22"/>
    </row>
    <row r="4" spans="1:25" ht="21">
      <c r="A4" s="17">
        <f>SUBTOTAL(3,A5:A20)</f>
        <v>16</v>
      </c>
      <c r="B4" s="18">
        <f>SUBTOTAL(3,B5:B30)</f>
        <v>16</v>
      </c>
      <c r="C4" s="18">
        <f>SUBTOTAL(2,C5:C30)</f>
        <v>0</v>
      </c>
      <c r="D4" s="18">
        <f t="shared" ref="D4:P4" si="0">SUBTOTAL(2,D5:D30)</f>
        <v>0</v>
      </c>
      <c r="E4" s="18">
        <f t="shared" si="0"/>
        <v>0</v>
      </c>
      <c r="F4" s="18">
        <f t="shared" si="0"/>
        <v>0</v>
      </c>
      <c r="G4" s="18">
        <f t="shared" si="0"/>
        <v>0</v>
      </c>
      <c r="H4" s="18">
        <f t="shared" si="0"/>
        <v>0</v>
      </c>
      <c r="I4" s="18">
        <f t="shared" si="0"/>
        <v>0</v>
      </c>
      <c r="J4" s="18">
        <f t="shared" si="0"/>
        <v>0</v>
      </c>
      <c r="K4" s="18">
        <f t="shared" si="0"/>
        <v>0</v>
      </c>
      <c r="L4" s="18">
        <f t="shared" si="0"/>
        <v>0</v>
      </c>
      <c r="M4" s="18">
        <f t="shared" si="0"/>
        <v>0</v>
      </c>
      <c r="N4" s="18">
        <f t="shared" si="0"/>
        <v>0</v>
      </c>
      <c r="O4" s="18">
        <f t="shared" si="0"/>
        <v>0</v>
      </c>
      <c r="P4" s="18">
        <f t="shared" si="0"/>
        <v>0</v>
      </c>
      <c r="Q4" s="27">
        <v>0</v>
      </c>
      <c r="R4" s="17"/>
      <c r="T4" s="12">
        <v>2</v>
      </c>
      <c r="U4" s="14" t="s">
        <v>23</v>
      </c>
      <c r="V4" s="13" t="s">
        <v>46</v>
      </c>
      <c r="W4" s="12" t="s">
        <v>44</v>
      </c>
      <c r="X4" s="13" t="s">
        <v>45</v>
      </c>
      <c r="Y4" s="22"/>
    </row>
    <row r="5" spans="1:25" ht="21">
      <c r="A5" s="19" t="s">
        <v>47</v>
      </c>
      <c r="B5" s="20" t="s">
        <v>48</v>
      </c>
      <c r="C5" s="33" t="b">
        <v>0</v>
      </c>
      <c r="D5" s="33" t="b">
        <v>0</v>
      </c>
      <c r="E5" s="33" t="b">
        <v>0</v>
      </c>
      <c r="F5" s="33" t="b">
        <v>0</v>
      </c>
      <c r="G5" s="33" t="b">
        <v>0</v>
      </c>
      <c r="H5" s="33" t="b">
        <v>0</v>
      </c>
      <c r="I5" s="33" t="b">
        <v>0</v>
      </c>
      <c r="J5" s="33" t="b">
        <v>0</v>
      </c>
      <c r="K5" s="33" t="b">
        <v>0</v>
      </c>
      <c r="L5" s="33" t="b">
        <v>0</v>
      </c>
      <c r="M5" s="33" t="b">
        <v>0</v>
      </c>
      <c r="N5" s="33" t="b">
        <v>0</v>
      </c>
      <c r="O5" s="33" t="b">
        <v>0</v>
      </c>
      <c r="P5" s="33" t="b">
        <v>0</v>
      </c>
      <c r="Q5" s="25" t="str">
        <f>IF(COUNTIF(C5:P5,TRUE)=0,"",COUNTIF(C5:P5,TRUE))</f>
        <v/>
      </c>
      <c r="R5" s="19"/>
      <c r="T5" s="12">
        <v>3</v>
      </c>
      <c r="U5" s="14" t="s">
        <v>24</v>
      </c>
      <c r="V5" s="13" t="s">
        <v>49</v>
      </c>
      <c r="W5" s="12" t="s">
        <v>44</v>
      </c>
      <c r="X5" s="13" t="s">
        <v>45</v>
      </c>
      <c r="Y5" s="22"/>
    </row>
    <row r="6" spans="1:25" ht="21">
      <c r="A6" s="19" t="s">
        <v>50</v>
      </c>
      <c r="B6" s="20" t="s">
        <v>51</v>
      </c>
      <c r="C6" s="33" t="b">
        <v>0</v>
      </c>
      <c r="D6" s="33" t="b">
        <v>0</v>
      </c>
      <c r="E6" s="33" t="b">
        <v>0</v>
      </c>
      <c r="F6" s="33" t="b">
        <v>0</v>
      </c>
      <c r="G6" s="33" t="b">
        <v>0</v>
      </c>
      <c r="H6" s="33" t="b">
        <v>0</v>
      </c>
      <c r="I6" s="33" t="b">
        <v>0</v>
      </c>
      <c r="J6" s="33" t="b">
        <v>0</v>
      </c>
      <c r="K6" s="33" t="b">
        <v>0</v>
      </c>
      <c r="L6" s="33" t="b">
        <v>0</v>
      </c>
      <c r="M6" s="33" t="b">
        <v>0</v>
      </c>
      <c r="N6" s="33" t="b">
        <v>0</v>
      </c>
      <c r="O6" s="33" t="b">
        <v>0</v>
      </c>
      <c r="P6" s="33" t="b">
        <v>0</v>
      </c>
      <c r="Q6" s="25" t="str">
        <f t="shared" ref="Q6:Q20" si="1">IF(COUNTIF(C6:P6,TRUE)=0,"",COUNTIF(C6:P6,TRUE))</f>
        <v/>
      </c>
      <c r="R6" s="19"/>
      <c r="T6" s="45">
        <v>4</v>
      </c>
      <c r="U6" s="46" t="s">
        <v>52</v>
      </c>
      <c r="V6" s="13" t="s">
        <v>53</v>
      </c>
      <c r="W6" s="12" t="s">
        <v>44</v>
      </c>
      <c r="X6" s="13" t="s">
        <v>45</v>
      </c>
      <c r="Y6" s="22"/>
    </row>
    <row r="7" spans="1:25" ht="21">
      <c r="A7" s="19" t="s">
        <v>54</v>
      </c>
      <c r="B7" s="20" t="s">
        <v>329</v>
      </c>
      <c r="C7" s="33" t="b">
        <v>0</v>
      </c>
      <c r="D7" s="33" t="b">
        <v>0</v>
      </c>
      <c r="E7" s="33" t="b">
        <v>0</v>
      </c>
      <c r="F7" s="33" t="b">
        <v>0</v>
      </c>
      <c r="G7" s="33" t="b">
        <v>0</v>
      </c>
      <c r="H7" s="33" t="b">
        <v>0</v>
      </c>
      <c r="I7" s="33" t="b">
        <v>0</v>
      </c>
      <c r="J7" s="33" t="b">
        <v>0</v>
      </c>
      <c r="K7" s="33" t="b">
        <v>0</v>
      </c>
      <c r="L7" s="33" t="b">
        <v>0</v>
      </c>
      <c r="M7" s="33" t="b">
        <v>0</v>
      </c>
      <c r="N7" s="33" t="b">
        <v>0</v>
      </c>
      <c r="O7" s="33" t="b">
        <v>0</v>
      </c>
      <c r="P7" s="33" t="b">
        <v>0</v>
      </c>
      <c r="Q7" s="25" t="str">
        <f t="shared" si="1"/>
        <v/>
      </c>
      <c r="R7" s="19"/>
      <c r="T7" s="47" t="s">
        <v>55</v>
      </c>
      <c r="U7" s="50" t="s">
        <v>56</v>
      </c>
    </row>
    <row r="8" spans="1:25" ht="21">
      <c r="A8" s="19" t="s">
        <v>57</v>
      </c>
      <c r="B8" s="20" t="s">
        <v>82</v>
      </c>
      <c r="C8" s="33" t="b">
        <v>0</v>
      </c>
      <c r="D8" s="33" t="b">
        <v>0</v>
      </c>
      <c r="E8" s="33" t="b">
        <v>0</v>
      </c>
      <c r="F8" s="33" t="b">
        <v>0</v>
      </c>
      <c r="G8" s="33" t="b">
        <v>0</v>
      </c>
      <c r="H8" s="33" t="b">
        <v>0</v>
      </c>
      <c r="I8" s="33" t="b">
        <v>0</v>
      </c>
      <c r="J8" s="33" t="b">
        <v>0</v>
      </c>
      <c r="K8" s="33" t="b">
        <v>0</v>
      </c>
      <c r="L8" s="33" t="b">
        <v>0</v>
      </c>
      <c r="M8" s="33" t="b">
        <v>0</v>
      </c>
      <c r="N8" s="33" t="b">
        <v>0</v>
      </c>
      <c r="O8" s="33" t="b">
        <v>0</v>
      </c>
      <c r="P8" s="33" t="b">
        <v>0</v>
      </c>
      <c r="Q8" s="25" t="str">
        <f t="shared" si="1"/>
        <v/>
      </c>
      <c r="R8" s="19"/>
      <c r="T8" s="48" t="s">
        <v>58</v>
      </c>
      <c r="U8" s="51">
        <f>COUNTBLANK(Q5:Q12)</f>
        <v>7</v>
      </c>
    </row>
    <row r="9" spans="1:25" ht="21">
      <c r="A9" s="19" t="s">
        <v>59</v>
      </c>
      <c r="B9" s="20" t="s">
        <v>60</v>
      </c>
      <c r="C9" s="33" t="b">
        <v>1</v>
      </c>
      <c r="D9" s="33" t="b">
        <v>0</v>
      </c>
      <c r="E9" s="33" t="b">
        <v>0</v>
      </c>
      <c r="F9" s="33" t="b">
        <v>0</v>
      </c>
      <c r="G9" s="33" t="b">
        <v>1</v>
      </c>
      <c r="H9" s="33" t="b">
        <v>0</v>
      </c>
      <c r="I9" s="33" t="b">
        <v>0</v>
      </c>
      <c r="J9" s="33" t="b">
        <v>0</v>
      </c>
      <c r="K9" s="33" t="b">
        <v>0</v>
      </c>
      <c r="L9" s="33" t="b">
        <v>0</v>
      </c>
      <c r="M9" s="33" t="b">
        <v>0</v>
      </c>
      <c r="N9" s="33" t="b">
        <v>1</v>
      </c>
      <c r="O9" s="33" t="b">
        <v>0</v>
      </c>
      <c r="P9" s="33" t="b">
        <v>0</v>
      </c>
      <c r="Q9" s="25">
        <f t="shared" si="1"/>
        <v>3</v>
      </c>
      <c r="R9" s="19"/>
      <c r="T9" s="49" t="s">
        <v>61</v>
      </c>
      <c r="U9" s="52">
        <f>ROWS(Q5:Q12)-COUNTBLANK(Q5:Q12)</f>
        <v>1</v>
      </c>
    </row>
    <row r="10" spans="1:25" ht="21">
      <c r="A10" s="19" t="s">
        <v>62</v>
      </c>
      <c r="B10" s="20" t="s">
        <v>63</v>
      </c>
      <c r="C10" s="33" t="b">
        <v>0</v>
      </c>
      <c r="D10" s="33" t="b">
        <v>0</v>
      </c>
      <c r="E10" s="33" t="b">
        <v>0</v>
      </c>
      <c r="F10" s="33" t="b">
        <v>0</v>
      </c>
      <c r="G10" s="33" t="b">
        <v>0</v>
      </c>
      <c r="H10" s="33" t="b">
        <v>0</v>
      </c>
      <c r="I10" s="33" t="b">
        <v>0</v>
      </c>
      <c r="J10" s="33" t="b">
        <v>0</v>
      </c>
      <c r="K10" s="33" t="b">
        <v>0</v>
      </c>
      <c r="L10" s="33" t="b">
        <v>0</v>
      </c>
      <c r="M10" s="33" t="b">
        <v>0</v>
      </c>
      <c r="N10" s="33" t="b">
        <v>0</v>
      </c>
      <c r="O10" s="33" t="b">
        <v>0</v>
      </c>
      <c r="P10" s="33" t="b">
        <v>0</v>
      </c>
      <c r="Q10" s="25" t="str">
        <f t="shared" si="1"/>
        <v/>
      </c>
      <c r="R10" s="19"/>
      <c r="T10" s="47" t="s">
        <v>64</v>
      </c>
      <c r="U10" s="50" t="s">
        <v>56</v>
      </c>
    </row>
    <row r="11" spans="1:25" ht="21">
      <c r="A11" s="19" t="s">
        <v>65</v>
      </c>
      <c r="B11" s="20" t="s">
        <v>66</v>
      </c>
      <c r="C11" s="33" t="b">
        <v>0</v>
      </c>
      <c r="D11" s="33" t="b">
        <v>0</v>
      </c>
      <c r="E11" s="33" t="b">
        <v>0</v>
      </c>
      <c r="F11" s="33" t="b">
        <v>0</v>
      </c>
      <c r="G11" s="33" t="b">
        <v>0</v>
      </c>
      <c r="H11" s="33" t="b">
        <v>0</v>
      </c>
      <c r="I11" s="33" t="b">
        <v>0</v>
      </c>
      <c r="J11" s="33" t="b">
        <v>0</v>
      </c>
      <c r="K11" s="33" t="b">
        <v>0</v>
      </c>
      <c r="L11" s="33" t="b">
        <v>0</v>
      </c>
      <c r="M11" s="33" t="b">
        <v>0</v>
      </c>
      <c r="N11" s="33" t="b">
        <v>0</v>
      </c>
      <c r="O11" s="33" t="b">
        <v>0</v>
      </c>
      <c r="P11" s="33" t="b">
        <v>0</v>
      </c>
      <c r="Q11" s="25" t="str">
        <f t="shared" si="1"/>
        <v/>
      </c>
      <c r="R11" s="19"/>
      <c r="T11" s="48" t="s">
        <v>58</v>
      </c>
      <c r="U11" s="51">
        <f>COUNTBLANK(Q13:Q20)</f>
        <v>8</v>
      </c>
    </row>
    <row r="12" spans="1:25" ht="21">
      <c r="A12" s="19" t="s">
        <v>67</v>
      </c>
      <c r="B12" s="20" t="s">
        <v>68</v>
      </c>
      <c r="C12" s="33" t="b">
        <v>0</v>
      </c>
      <c r="D12" s="33" t="b">
        <v>0</v>
      </c>
      <c r="E12" s="33" t="b">
        <v>0</v>
      </c>
      <c r="F12" s="33" t="b">
        <v>0</v>
      </c>
      <c r="G12" s="33" t="b">
        <v>0</v>
      </c>
      <c r="H12" s="33" t="b">
        <v>0</v>
      </c>
      <c r="I12" s="33" t="b">
        <v>0</v>
      </c>
      <c r="J12" s="33" t="b">
        <v>0</v>
      </c>
      <c r="K12" s="33" t="b">
        <v>0</v>
      </c>
      <c r="L12" s="33" t="b">
        <v>0</v>
      </c>
      <c r="M12" s="33" t="b">
        <v>0</v>
      </c>
      <c r="N12" s="33" t="b">
        <v>0</v>
      </c>
      <c r="O12" s="33" t="b">
        <v>0</v>
      </c>
      <c r="P12" s="33" t="b">
        <v>0</v>
      </c>
      <c r="Q12" s="25" t="str">
        <f t="shared" si="1"/>
        <v/>
      </c>
      <c r="R12" s="19"/>
      <c r="T12" s="49" t="s">
        <v>61</v>
      </c>
      <c r="U12" s="52">
        <f>ROWS(Q13:Q20)-COUNTBLANK(Q13:Q20)</f>
        <v>0</v>
      </c>
    </row>
    <row r="13" spans="1:25" ht="21">
      <c r="A13" s="19" t="s">
        <v>69</v>
      </c>
      <c r="B13" s="20" t="s">
        <v>330</v>
      </c>
      <c r="C13" s="33" t="b">
        <v>0</v>
      </c>
      <c r="D13" s="33" t="b">
        <v>0</v>
      </c>
      <c r="E13" s="33" t="b">
        <v>0</v>
      </c>
      <c r="F13" s="33" t="b">
        <v>0</v>
      </c>
      <c r="G13" s="33" t="b">
        <v>0</v>
      </c>
      <c r="H13" s="33" t="b">
        <v>0</v>
      </c>
      <c r="I13" s="33" t="b">
        <v>0</v>
      </c>
      <c r="J13" s="33" t="b">
        <v>0</v>
      </c>
      <c r="K13" s="33" t="b">
        <v>0</v>
      </c>
      <c r="L13" s="33" t="b">
        <v>0</v>
      </c>
      <c r="M13" s="33" t="b">
        <v>0</v>
      </c>
      <c r="N13" s="33" t="b">
        <v>0</v>
      </c>
      <c r="O13" s="33" t="b">
        <v>0</v>
      </c>
      <c r="P13" s="33" t="b">
        <v>0</v>
      </c>
      <c r="Q13" s="25" t="str">
        <f t="shared" si="1"/>
        <v/>
      </c>
      <c r="R13" s="19"/>
    </row>
    <row r="14" spans="1:25" ht="21">
      <c r="A14" s="19" t="s">
        <v>69</v>
      </c>
      <c r="B14" s="20" t="s">
        <v>331</v>
      </c>
      <c r="C14" s="33" t="b">
        <v>0</v>
      </c>
      <c r="D14" s="33" t="b">
        <v>0</v>
      </c>
      <c r="E14" s="33" t="b">
        <v>0</v>
      </c>
      <c r="F14" s="33" t="b">
        <v>0</v>
      </c>
      <c r="G14" s="33" t="b">
        <v>0</v>
      </c>
      <c r="H14" s="33" t="b">
        <v>0</v>
      </c>
      <c r="I14" s="33" t="b">
        <v>0</v>
      </c>
      <c r="J14" s="33" t="b">
        <v>0</v>
      </c>
      <c r="K14" s="33" t="b">
        <v>0</v>
      </c>
      <c r="L14" s="33" t="b">
        <v>0</v>
      </c>
      <c r="M14" s="33" t="b">
        <v>0</v>
      </c>
      <c r="N14" s="33" t="b">
        <v>0</v>
      </c>
      <c r="O14" s="33" t="b">
        <v>0</v>
      </c>
      <c r="P14" s="33" t="b">
        <v>0</v>
      </c>
      <c r="Q14" s="25" t="str">
        <f t="shared" si="1"/>
        <v/>
      </c>
      <c r="R14" s="19"/>
    </row>
    <row r="15" spans="1:25" ht="21">
      <c r="A15" s="19" t="s">
        <v>69</v>
      </c>
      <c r="B15" s="20" t="s">
        <v>332</v>
      </c>
      <c r="C15" s="33" t="b">
        <v>0</v>
      </c>
      <c r="D15" s="33" t="b">
        <v>0</v>
      </c>
      <c r="E15" s="33" t="b">
        <v>0</v>
      </c>
      <c r="F15" s="33" t="b">
        <v>0</v>
      </c>
      <c r="G15" s="33" t="b">
        <v>0</v>
      </c>
      <c r="H15" s="33" t="b">
        <v>0</v>
      </c>
      <c r="I15" s="33" t="b">
        <v>0</v>
      </c>
      <c r="J15" s="33" t="b">
        <v>0</v>
      </c>
      <c r="K15" s="33" t="b">
        <v>0</v>
      </c>
      <c r="L15" s="33" t="b">
        <v>0</v>
      </c>
      <c r="M15" s="33" t="b">
        <v>0</v>
      </c>
      <c r="N15" s="33" t="b">
        <v>0</v>
      </c>
      <c r="O15" s="33" t="b">
        <v>0</v>
      </c>
      <c r="P15" s="33" t="b">
        <v>0</v>
      </c>
      <c r="Q15" s="25" t="str">
        <f t="shared" si="1"/>
        <v/>
      </c>
      <c r="R15" s="19"/>
    </row>
    <row r="16" spans="1:25" ht="21">
      <c r="A16" s="19" t="s">
        <v>69</v>
      </c>
      <c r="B16" s="20" t="s">
        <v>333</v>
      </c>
      <c r="C16" s="33" t="b">
        <v>0</v>
      </c>
      <c r="D16" s="33" t="b">
        <v>0</v>
      </c>
      <c r="E16" s="33" t="b">
        <v>0</v>
      </c>
      <c r="F16" s="33" t="b">
        <v>0</v>
      </c>
      <c r="G16" s="33" t="b">
        <v>0</v>
      </c>
      <c r="H16" s="33" t="b">
        <v>0</v>
      </c>
      <c r="I16" s="33" t="b">
        <v>0</v>
      </c>
      <c r="J16" s="33" t="b">
        <v>0</v>
      </c>
      <c r="K16" s="33" t="b">
        <v>0</v>
      </c>
      <c r="L16" s="33" t="b">
        <v>0</v>
      </c>
      <c r="M16" s="33" t="b">
        <v>0</v>
      </c>
      <c r="N16" s="33" t="b">
        <v>0</v>
      </c>
      <c r="O16" s="33" t="b">
        <v>0</v>
      </c>
      <c r="P16" s="33" t="b">
        <v>0</v>
      </c>
      <c r="Q16" s="25" t="str">
        <f t="shared" si="1"/>
        <v/>
      </c>
      <c r="R16" s="19"/>
    </row>
    <row r="17" spans="1:18" ht="21">
      <c r="A17" s="19" t="s">
        <v>69</v>
      </c>
      <c r="B17" s="20" t="s">
        <v>334</v>
      </c>
      <c r="C17" s="33" t="b">
        <v>0</v>
      </c>
      <c r="D17" s="33" t="b">
        <v>0</v>
      </c>
      <c r="E17" s="33" t="b">
        <v>0</v>
      </c>
      <c r="F17" s="33" t="b">
        <v>0</v>
      </c>
      <c r="G17" s="33" t="b">
        <v>0</v>
      </c>
      <c r="H17" s="33" t="b">
        <v>0</v>
      </c>
      <c r="I17" s="33" t="b">
        <v>0</v>
      </c>
      <c r="J17" s="33" t="b">
        <v>0</v>
      </c>
      <c r="K17" s="33" t="b">
        <v>0</v>
      </c>
      <c r="L17" s="33" t="b">
        <v>0</v>
      </c>
      <c r="M17" s="33" t="b">
        <v>0</v>
      </c>
      <c r="N17" s="33" t="b">
        <v>0</v>
      </c>
      <c r="O17" s="33" t="b">
        <v>0</v>
      </c>
      <c r="P17" s="33" t="b">
        <v>0</v>
      </c>
      <c r="Q17" s="25" t="str">
        <f t="shared" si="1"/>
        <v/>
      </c>
      <c r="R17" s="19"/>
    </row>
    <row r="18" spans="1:18" ht="21">
      <c r="A18" s="19" t="s">
        <v>69</v>
      </c>
      <c r="B18" s="20" t="s">
        <v>335</v>
      </c>
      <c r="C18" s="33" t="b">
        <v>0</v>
      </c>
      <c r="D18" s="33" t="b">
        <v>0</v>
      </c>
      <c r="E18" s="33" t="b">
        <v>0</v>
      </c>
      <c r="F18" s="33" t="b">
        <v>0</v>
      </c>
      <c r="G18" s="33" t="b">
        <v>0</v>
      </c>
      <c r="H18" s="33" t="b">
        <v>0</v>
      </c>
      <c r="I18" s="33" t="b">
        <v>0</v>
      </c>
      <c r="J18" s="33" t="b">
        <v>0</v>
      </c>
      <c r="K18" s="33" t="b">
        <v>0</v>
      </c>
      <c r="L18" s="33" t="b">
        <v>0</v>
      </c>
      <c r="M18" s="33" t="b">
        <v>0</v>
      </c>
      <c r="N18" s="33" t="b">
        <v>0</v>
      </c>
      <c r="O18" s="33" t="b">
        <v>0</v>
      </c>
      <c r="P18" s="33" t="b">
        <v>0</v>
      </c>
      <c r="Q18" s="25" t="str">
        <f t="shared" si="1"/>
        <v/>
      </c>
      <c r="R18" s="19"/>
    </row>
    <row r="19" spans="1:18" ht="21">
      <c r="A19" s="19" t="s">
        <v>69</v>
      </c>
      <c r="B19" s="20" t="s">
        <v>336</v>
      </c>
      <c r="C19" s="33" t="b">
        <v>0</v>
      </c>
      <c r="D19" s="33" t="b">
        <v>0</v>
      </c>
      <c r="E19" s="33" t="b">
        <v>0</v>
      </c>
      <c r="F19" s="33" t="b">
        <v>0</v>
      </c>
      <c r="G19" s="33" t="b">
        <v>0</v>
      </c>
      <c r="H19" s="33" t="b">
        <v>0</v>
      </c>
      <c r="I19" s="33" t="b">
        <v>0</v>
      </c>
      <c r="J19" s="33" t="b">
        <v>0</v>
      </c>
      <c r="K19" s="33" t="b">
        <v>0</v>
      </c>
      <c r="L19" s="33" t="b">
        <v>0</v>
      </c>
      <c r="M19" s="33" t="b">
        <v>0</v>
      </c>
      <c r="N19" s="33" t="b">
        <v>0</v>
      </c>
      <c r="O19" s="33" t="b">
        <v>0</v>
      </c>
      <c r="P19" s="33" t="b">
        <v>0</v>
      </c>
      <c r="Q19" s="25" t="str">
        <f t="shared" si="1"/>
        <v/>
      </c>
      <c r="R19" s="19"/>
    </row>
    <row r="20" spans="1:18" ht="21">
      <c r="A20" s="19" t="s">
        <v>69</v>
      </c>
      <c r="B20" s="20" t="s">
        <v>337</v>
      </c>
      <c r="C20" s="33" t="b">
        <v>0</v>
      </c>
      <c r="D20" s="33" t="b">
        <v>0</v>
      </c>
      <c r="E20" s="33" t="b">
        <v>0</v>
      </c>
      <c r="F20" s="33" t="b">
        <v>0</v>
      </c>
      <c r="G20" s="33" t="b">
        <v>0</v>
      </c>
      <c r="H20" s="33" t="b">
        <v>0</v>
      </c>
      <c r="I20" s="33" t="b">
        <v>0</v>
      </c>
      <c r="J20" s="33" t="b">
        <v>0</v>
      </c>
      <c r="K20" s="33" t="b">
        <v>0</v>
      </c>
      <c r="L20" s="33" t="b">
        <v>0</v>
      </c>
      <c r="M20" s="33" t="b">
        <v>0</v>
      </c>
      <c r="N20" s="33" t="b">
        <v>0</v>
      </c>
      <c r="O20" s="33" t="b">
        <v>0</v>
      </c>
      <c r="P20" s="33" t="b">
        <v>0</v>
      </c>
      <c r="Q20" s="25" t="str">
        <f t="shared" si="1"/>
        <v/>
      </c>
      <c r="R20" s="19"/>
    </row>
    <row r="21" spans="1:18" ht="21">
      <c r="A21" s="24" t="s">
        <v>77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6">
        <f>SUBTOTAL(2,Q5:Q20)</f>
        <v>1</v>
      </c>
      <c r="R21" s="24"/>
    </row>
  </sheetData>
  <mergeCells count="7">
    <mergeCell ref="W1:X1"/>
    <mergeCell ref="A1:R1"/>
    <mergeCell ref="H2:J2"/>
    <mergeCell ref="O2:P2"/>
    <mergeCell ref="K2:L2"/>
    <mergeCell ref="M2:N2"/>
    <mergeCell ref="D2:G2"/>
  </mergeCells>
  <conditionalFormatting sqref="U2:U6">
    <cfRule type="duplicateValues" dxfId="5" priority="3"/>
  </conditionalFormatting>
  <conditionalFormatting sqref="W3:W6">
    <cfRule type="containsText" dxfId="4" priority="4" operator="containsText" text="Normal"/>
    <cfRule type="containsText" dxfId="3" priority="5" operator="containsText" text="Monitor"/>
    <cfRule type="containsText" dxfId="2" priority="6" operator="containsText" text="Down"/>
  </conditionalFormatting>
  <conditionalFormatting sqref="X2:X6">
    <cfRule type="cellIs" dxfId="1" priority="1" operator="equal">
      <formula>"Down"</formula>
    </cfRule>
    <cfRule type="cellIs" dxfId="0" priority="2" operator="equal">
      <formula>"Online"</formula>
    </cfRule>
  </conditionalFormatting>
  <dataValidations count="1">
    <dataValidation type="list" sqref="W3:W6" xr:uid="{4A62ADA9-4C3F-43D0-A168-920228B56198}">
      <formula1>"ปกติ / Normal,รอตรวจสอบ / Pending ,ขัดข้อง / Down"</formula1>
    </dataValidation>
  </dataValidation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348C-669B-411C-9462-2F03555FB1D1}">
  <dimension ref="A1:F182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defaultColWidth="8.69921875" defaultRowHeight="16.8"/>
  <cols>
    <col min="1" max="1" width="8.19921875" style="53" customWidth="1"/>
    <col min="2" max="2" width="20.5" style="53" bestFit="1" customWidth="1"/>
    <col min="3" max="3" width="16.296875" style="53" customWidth="1"/>
    <col min="4" max="4" width="14.59765625" style="53" customWidth="1"/>
    <col min="5" max="5" width="16.796875" style="53" customWidth="1"/>
    <col min="6" max="16384" width="8.69921875" style="53"/>
  </cols>
  <sheetData>
    <row r="1" spans="1:6" ht="49.2">
      <c r="A1" s="57" t="s">
        <v>142</v>
      </c>
      <c r="B1" s="57" t="s">
        <v>143</v>
      </c>
      <c r="C1" s="57" t="s">
        <v>144</v>
      </c>
      <c r="D1" s="57" t="s">
        <v>145</v>
      </c>
      <c r="E1" s="57" t="s">
        <v>146</v>
      </c>
      <c r="F1" s="58" t="s">
        <v>338</v>
      </c>
    </row>
    <row r="2" spans="1:6" ht="24.6">
      <c r="A2" s="54">
        <v>1</v>
      </c>
      <c r="B2" s="56" t="s">
        <v>147</v>
      </c>
      <c r="C2" s="54" t="s">
        <v>83</v>
      </c>
      <c r="D2" s="54" t="s">
        <v>84</v>
      </c>
      <c r="E2" s="54" t="s">
        <v>85</v>
      </c>
      <c r="F2" s="61" t="b">
        <v>0</v>
      </c>
    </row>
    <row r="3" spans="1:6" ht="24.6">
      <c r="A3" s="54">
        <v>2</v>
      </c>
      <c r="B3" s="56" t="s">
        <v>148</v>
      </c>
      <c r="C3" s="54" t="s">
        <v>83</v>
      </c>
      <c r="D3" s="54" t="s">
        <v>84</v>
      </c>
      <c r="E3" s="54" t="s">
        <v>85</v>
      </c>
      <c r="F3" s="61" t="b">
        <v>0</v>
      </c>
    </row>
    <row r="4" spans="1:6" ht="24.6">
      <c r="A4" s="54">
        <v>3</v>
      </c>
      <c r="B4" s="56" t="s">
        <v>149</v>
      </c>
      <c r="C4" s="54" t="s">
        <v>83</v>
      </c>
      <c r="D4" s="54" t="s">
        <v>84</v>
      </c>
      <c r="E4" s="54" t="s">
        <v>85</v>
      </c>
      <c r="F4" s="61" t="b">
        <v>0</v>
      </c>
    </row>
    <row r="5" spans="1:6" ht="24.6">
      <c r="A5" s="54">
        <v>4</v>
      </c>
      <c r="B5" s="56" t="s">
        <v>150</v>
      </c>
      <c r="C5" s="54" t="s">
        <v>83</v>
      </c>
      <c r="D5" s="54" t="s">
        <v>84</v>
      </c>
      <c r="E5" s="54" t="s">
        <v>85</v>
      </c>
      <c r="F5" s="61" t="b">
        <v>0</v>
      </c>
    </row>
    <row r="6" spans="1:6" ht="24.6">
      <c r="A6" s="54">
        <v>5</v>
      </c>
      <c r="B6" s="56" t="s">
        <v>151</v>
      </c>
      <c r="C6" s="54" t="s">
        <v>86</v>
      </c>
      <c r="D6" s="54" t="s">
        <v>84</v>
      </c>
      <c r="E6" s="54" t="s">
        <v>85</v>
      </c>
      <c r="F6" s="61" t="b">
        <v>0</v>
      </c>
    </row>
    <row r="7" spans="1:6" ht="24.6">
      <c r="A7" s="54">
        <v>6</v>
      </c>
      <c r="B7" s="56" t="s">
        <v>152</v>
      </c>
      <c r="C7" s="54" t="s">
        <v>86</v>
      </c>
      <c r="D7" s="54" t="s">
        <v>84</v>
      </c>
      <c r="E7" s="54" t="s">
        <v>85</v>
      </c>
      <c r="F7" s="61" t="b">
        <v>0</v>
      </c>
    </row>
    <row r="8" spans="1:6" ht="24.6">
      <c r="A8" s="54">
        <v>7</v>
      </c>
      <c r="B8" s="56" t="s">
        <v>153</v>
      </c>
      <c r="C8" s="54" t="s">
        <v>86</v>
      </c>
      <c r="D8" s="54" t="s">
        <v>84</v>
      </c>
      <c r="E8" s="54" t="s">
        <v>85</v>
      </c>
      <c r="F8" s="61" t="b">
        <v>0</v>
      </c>
    </row>
    <row r="9" spans="1:6" ht="24.6">
      <c r="A9" s="54">
        <v>8</v>
      </c>
      <c r="B9" s="56" t="s">
        <v>154</v>
      </c>
      <c r="C9" s="54" t="s">
        <v>86</v>
      </c>
      <c r="D9" s="54" t="s">
        <v>84</v>
      </c>
      <c r="E9" s="54" t="s">
        <v>85</v>
      </c>
      <c r="F9" s="61" t="b">
        <v>0</v>
      </c>
    </row>
    <row r="10" spans="1:6" ht="24.6">
      <c r="A10" s="54">
        <v>9</v>
      </c>
      <c r="B10" s="56" t="s">
        <v>155</v>
      </c>
      <c r="C10" s="54" t="s">
        <v>87</v>
      </c>
      <c r="D10" s="54" t="s">
        <v>84</v>
      </c>
      <c r="E10" s="54" t="s">
        <v>85</v>
      </c>
      <c r="F10" s="61" t="b">
        <v>0</v>
      </c>
    </row>
    <row r="11" spans="1:6" ht="24.6">
      <c r="A11" s="54">
        <v>10</v>
      </c>
      <c r="B11" s="56" t="s">
        <v>156</v>
      </c>
      <c r="C11" s="54" t="s">
        <v>87</v>
      </c>
      <c r="D11" s="54" t="s">
        <v>84</v>
      </c>
      <c r="E11" s="54" t="s">
        <v>85</v>
      </c>
      <c r="F11" s="61" t="b">
        <v>0</v>
      </c>
    </row>
    <row r="12" spans="1:6" ht="24.6">
      <c r="A12" s="54">
        <v>11</v>
      </c>
      <c r="B12" s="56" t="s">
        <v>157</v>
      </c>
      <c r="C12" s="54" t="s">
        <v>87</v>
      </c>
      <c r="D12" s="54" t="s">
        <v>84</v>
      </c>
      <c r="E12" s="54" t="s">
        <v>85</v>
      </c>
      <c r="F12" s="61" t="b">
        <v>0</v>
      </c>
    </row>
    <row r="13" spans="1:6" ht="24.6">
      <c r="A13" s="54">
        <v>12</v>
      </c>
      <c r="B13" s="56" t="s">
        <v>158</v>
      </c>
      <c r="C13" s="54" t="s">
        <v>87</v>
      </c>
      <c r="D13" s="54" t="s">
        <v>84</v>
      </c>
      <c r="E13" s="54" t="s">
        <v>85</v>
      </c>
      <c r="F13" s="61" t="b">
        <v>0</v>
      </c>
    </row>
    <row r="14" spans="1:6" ht="24.6">
      <c r="A14" s="54">
        <v>13</v>
      </c>
      <c r="B14" s="56" t="s">
        <v>159</v>
      </c>
      <c r="C14" s="54" t="s">
        <v>87</v>
      </c>
      <c r="D14" s="54" t="s">
        <v>84</v>
      </c>
      <c r="E14" s="54" t="s">
        <v>85</v>
      </c>
      <c r="F14" s="61" t="b">
        <v>0</v>
      </c>
    </row>
    <row r="15" spans="1:6" ht="24.6">
      <c r="A15" s="54">
        <v>14</v>
      </c>
      <c r="B15" s="56" t="s">
        <v>160</v>
      </c>
      <c r="C15" s="54" t="s">
        <v>87</v>
      </c>
      <c r="D15" s="54" t="s">
        <v>84</v>
      </c>
      <c r="E15" s="54" t="s">
        <v>85</v>
      </c>
      <c r="F15" s="61" t="b">
        <v>0</v>
      </c>
    </row>
    <row r="16" spans="1:6" ht="24.6">
      <c r="A16" s="54">
        <v>15</v>
      </c>
      <c r="B16" s="56" t="s">
        <v>161</v>
      </c>
      <c r="C16" s="54" t="s">
        <v>87</v>
      </c>
      <c r="D16" s="54" t="s">
        <v>84</v>
      </c>
      <c r="E16" s="54" t="s">
        <v>85</v>
      </c>
      <c r="F16" s="61" t="b">
        <v>0</v>
      </c>
    </row>
    <row r="17" spans="1:6" ht="24.6">
      <c r="A17" s="59">
        <v>16</v>
      </c>
      <c r="B17" s="60" t="s">
        <v>162</v>
      </c>
      <c r="C17" s="59" t="s">
        <v>88</v>
      </c>
      <c r="D17" s="59" t="s">
        <v>70</v>
      </c>
      <c r="E17" s="59" t="s">
        <v>85</v>
      </c>
      <c r="F17" s="61" t="b">
        <v>0</v>
      </c>
    </row>
    <row r="18" spans="1:6" ht="24.6">
      <c r="A18" s="59">
        <v>17</v>
      </c>
      <c r="B18" s="60" t="s">
        <v>163</v>
      </c>
      <c r="C18" s="59" t="s">
        <v>88</v>
      </c>
      <c r="D18" s="59" t="s">
        <v>70</v>
      </c>
      <c r="E18" s="59" t="s">
        <v>85</v>
      </c>
      <c r="F18" s="61" t="b">
        <v>0</v>
      </c>
    </row>
    <row r="19" spans="1:6" ht="24.6">
      <c r="A19" s="59">
        <v>18</v>
      </c>
      <c r="B19" s="60" t="s">
        <v>164</v>
      </c>
      <c r="C19" s="59" t="s">
        <v>88</v>
      </c>
      <c r="D19" s="59" t="s">
        <v>70</v>
      </c>
      <c r="E19" s="59" t="s">
        <v>85</v>
      </c>
      <c r="F19" s="61" t="b">
        <v>0</v>
      </c>
    </row>
    <row r="20" spans="1:6" ht="24.6">
      <c r="A20" s="59">
        <v>19</v>
      </c>
      <c r="B20" s="60" t="s">
        <v>165</v>
      </c>
      <c r="C20" s="59" t="s">
        <v>88</v>
      </c>
      <c r="D20" s="59" t="s">
        <v>70</v>
      </c>
      <c r="E20" s="59" t="s">
        <v>85</v>
      </c>
      <c r="F20" s="61" t="b">
        <v>0</v>
      </c>
    </row>
    <row r="21" spans="1:6" ht="24.6">
      <c r="A21" s="59">
        <v>20</v>
      </c>
      <c r="B21" s="60" t="s">
        <v>166</v>
      </c>
      <c r="C21" s="59" t="s">
        <v>88</v>
      </c>
      <c r="D21" s="59" t="s">
        <v>70</v>
      </c>
      <c r="E21" s="59" t="s">
        <v>85</v>
      </c>
      <c r="F21" s="61" t="b">
        <v>0</v>
      </c>
    </row>
    <row r="22" spans="1:6" ht="24.6">
      <c r="A22" s="59">
        <v>21</v>
      </c>
      <c r="B22" s="60" t="s">
        <v>167</v>
      </c>
      <c r="C22" s="59" t="s">
        <v>88</v>
      </c>
      <c r="D22" s="59" t="s">
        <v>70</v>
      </c>
      <c r="E22" s="59" t="s">
        <v>85</v>
      </c>
      <c r="F22" s="61" t="b">
        <v>0</v>
      </c>
    </row>
    <row r="23" spans="1:6" ht="24.6">
      <c r="A23" s="59">
        <v>22</v>
      </c>
      <c r="B23" s="60" t="s">
        <v>168</v>
      </c>
      <c r="C23" s="59" t="s">
        <v>88</v>
      </c>
      <c r="D23" s="59" t="s">
        <v>70</v>
      </c>
      <c r="E23" s="59" t="s">
        <v>85</v>
      </c>
      <c r="F23" s="61" t="b">
        <v>0</v>
      </c>
    </row>
    <row r="24" spans="1:6" ht="24.6">
      <c r="A24" s="59">
        <v>23</v>
      </c>
      <c r="B24" s="60" t="s">
        <v>169</v>
      </c>
      <c r="C24" s="59" t="s">
        <v>88</v>
      </c>
      <c r="D24" s="59" t="s">
        <v>70</v>
      </c>
      <c r="E24" s="59" t="s">
        <v>85</v>
      </c>
      <c r="F24" s="61" t="b">
        <v>0</v>
      </c>
    </row>
    <row r="25" spans="1:6" ht="24.6">
      <c r="A25" s="59">
        <v>24</v>
      </c>
      <c r="B25" s="60" t="s">
        <v>170</v>
      </c>
      <c r="C25" s="59" t="s">
        <v>88</v>
      </c>
      <c r="D25" s="59" t="s">
        <v>70</v>
      </c>
      <c r="E25" s="59" t="s">
        <v>85</v>
      </c>
      <c r="F25" s="61" t="b">
        <v>0</v>
      </c>
    </row>
    <row r="26" spans="1:6" ht="24.6">
      <c r="A26" s="59">
        <v>25</v>
      </c>
      <c r="B26" s="60" t="s">
        <v>171</v>
      </c>
      <c r="C26" s="59" t="s">
        <v>88</v>
      </c>
      <c r="D26" s="59" t="s">
        <v>70</v>
      </c>
      <c r="E26" s="59" t="s">
        <v>85</v>
      </c>
      <c r="F26" s="61" t="b">
        <v>0</v>
      </c>
    </row>
    <row r="27" spans="1:6" ht="24.6">
      <c r="A27" s="59">
        <v>26</v>
      </c>
      <c r="B27" s="60" t="s">
        <v>172</v>
      </c>
      <c r="C27" s="59" t="s">
        <v>89</v>
      </c>
      <c r="D27" s="59" t="s">
        <v>70</v>
      </c>
      <c r="E27" s="59" t="s">
        <v>85</v>
      </c>
      <c r="F27" s="61" t="b">
        <v>0</v>
      </c>
    </row>
    <row r="28" spans="1:6" ht="24.6">
      <c r="A28" s="59">
        <v>27</v>
      </c>
      <c r="B28" s="60" t="s">
        <v>173</v>
      </c>
      <c r="C28" s="59" t="s">
        <v>89</v>
      </c>
      <c r="D28" s="59" t="s">
        <v>70</v>
      </c>
      <c r="E28" s="59" t="s">
        <v>85</v>
      </c>
      <c r="F28" s="61" t="b">
        <v>0</v>
      </c>
    </row>
    <row r="29" spans="1:6" ht="24.6">
      <c r="A29" s="59">
        <v>28</v>
      </c>
      <c r="B29" s="60" t="s">
        <v>174</v>
      </c>
      <c r="C29" s="59" t="s">
        <v>89</v>
      </c>
      <c r="D29" s="59" t="s">
        <v>70</v>
      </c>
      <c r="E29" s="59" t="s">
        <v>85</v>
      </c>
      <c r="F29" s="61" t="b">
        <v>0</v>
      </c>
    </row>
    <row r="30" spans="1:6" ht="24.6">
      <c r="A30" s="59">
        <v>29</v>
      </c>
      <c r="B30" s="60" t="s">
        <v>175</v>
      </c>
      <c r="C30" s="59" t="s">
        <v>89</v>
      </c>
      <c r="D30" s="59" t="s">
        <v>70</v>
      </c>
      <c r="E30" s="59" t="s">
        <v>85</v>
      </c>
      <c r="F30" s="61" t="b">
        <v>0</v>
      </c>
    </row>
    <row r="31" spans="1:6" ht="24.6">
      <c r="A31" s="59">
        <v>30</v>
      </c>
      <c r="B31" s="60" t="s">
        <v>176</v>
      </c>
      <c r="C31" s="59" t="s">
        <v>89</v>
      </c>
      <c r="D31" s="59" t="s">
        <v>70</v>
      </c>
      <c r="E31" s="59" t="s">
        <v>85</v>
      </c>
      <c r="F31" s="61" t="b">
        <v>0</v>
      </c>
    </row>
    <row r="32" spans="1:6" ht="24.6">
      <c r="A32" s="54">
        <v>31</v>
      </c>
      <c r="B32" s="56" t="s">
        <v>177</v>
      </c>
      <c r="C32" s="54" t="s">
        <v>90</v>
      </c>
      <c r="D32" s="54" t="s">
        <v>91</v>
      </c>
      <c r="E32" s="54" t="s">
        <v>92</v>
      </c>
      <c r="F32" s="61" t="b">
        <v>0</v>
      </c>
    </row>
    <row r="33" spans="1:6" ht="24.6">
      <c r="A33" s="54">
        <v>32</v>
      </c>
      <c r="B33" s="56" t="s">
        <v>178</v>
      </c>
      <c r="C33" s="54" t="s">
        <v>90</v>
      </c>
      <c r="D33" s="54" t="s">
        <v>91</v>
      </c>
      <c r="E33" s="54" t="s">
        <v>92</v>
      </c>
      <c r="F33" s="61" t="b">
        <v>0</v>
      </c>
    </row>
    <row r="34" spans="1:6" ht="24.6">
      <c r="A34" s="54">
        <v>33</v>
      </c>
      <c r="B34" s="56" t="s">
        <v>179</v>
      </c>
      <c r="C34" s="54" t="s">
        <v>90</v>
      </c>
      <c r="D34" s="54" t="s">
        <v>91</v>
      </c>
      <c r="E34" s="54" t="s">
        <v>92</v>
      </c>
      <c r="F34" s="61" t="b">
        <v>0</v>
      </c>
    </row>
    <row r="35" spans="1:6" ht="24.6">
      <c r="A35" s="54">
        <v>34</v>
      </c>
      <c r="B35" s="56" t="s">
        <v>180</v>
      </c>
      <c r="C35" s="54" t="s">
        <v>90</v>
      </c>
      <c r="D35" s="54" t="s">
        <v>91</v>
      </c>
      <c r="E35" s="54" t="s">
        <v>92</v>
      </c>
      <c r="F35" s="61" t="b">
        <v>0</v>
      </c>
    </row>
    <row r="36" spans="1:6" ht="24.6">
      <c r="A36" s="54">
        <v>35</v>
      </c>
      <c r="B36" s="56" t="s">
        <v>181</v>
      </c>
      <c r="C36" s="54" t="s">
        <v>90</v>
      </c>
      <c r="D36" s="54" t="s">
        <v>91</v>
      </c>
      <c r="E36" s="54" t="s">
        <v>92</v>
      </c>
      <c r="F36" s="61" t="b">
        <v>0</v>
      </c>
    </row>
    <row r="37" spans="1:6" ht="24.6">
      <c r="A37" s="54">
        <v>36</v>
      </c>
      <c r="B37" s="56" t="s">
        <v>182</v>
      </c>
      <c r="C37" s="54" t="s">
        <v>90</v>
      </c>
      <c r="D37" s="54" t="s">
        <v>91</v>
      </c>
      <c r="E37" s="54" t="s">
        <v>92</v>
      </c>
      <c r="F37" s="61" t="b">
        <v>0</v>
      </c>
    </row>
    <row r="38" spans="1:6" ht="24.6">
      <c r="A38" s="54">
        <v>37</v>
      </c>
      <c r="B38" s="56" t="s">
        <v>183</v>
      </c>
      <c r="C38" s="54" t="s">
        <v>93</v>
      </c>
      <c r="D38" s="54" t="s">
        <v>71</v>
      </c>
      <c r="E38" s="54" t="s">
        <v>92</v>
      </c>
      <c r="F38" s="61" t="b">
        <v>0</v>
      </c>
    </row>
    <row r="39" spans="1:6" ht="24.6">
      <c r="A39" s="54">
        <v>38</v>
      </c>
      <c r="B39" s="56" t="s">
        <v>184</v>
      </c>
      <c r="C39" s="54" t="s">
        <v>93</v>
      </c>
      <c r="D39" s="54" t="s">
        <v>71</v>
      </c>
      <c r="E39" s="54" t="s">
        <v>92</v>
      </c>
      <c r="F39" s="61" t="b">
        <v>0</v>
      </c>
    </row>
    <row r="40" spans="1:6" ht="24.6">
      <c r="A40" s="54">
        <v>39</v>
      </c>
      <c r="B40" s="56" t="s">
        <v>185</v>
      </c>
      <c r="C40" s="54" t="s">
        <v>94</v>
      </c>
      <c r="D40" s="54" t="s">
        <v>95</v>
      </c>
      <c r="E40" s="54" t="s">
        <v>92</v>
      </c>
      <c r="F40" s="61" t="b">
        <v>0</v>
      </c>
    </row>
    <row r="41" spans="1:6" ht="24.6">
      <c r="A41" s="54">
        <v>40</v>
      </c>
      <c r="B41" s="56" t="s">
        <v>186</v>
      </c>
      <c r="C41" s="54" t="s">
        <v>94</v>
      </c>
      <c r="D41" s="54" t="s">
        <v>95</v>
      </c>
      <c r="E41" s="54" t="s">
        <v>92</v>
      </c>
      <c r="F41" s="61" t="b">
        <v>0</v>
      </c>
    </row>
    <row r="42" spans="1:6" ht="24.6">
      <c r="A42" s="54">
        <v>41</v>
      </c>
      <c r="B42" s="56" t="s">
        <v>187</v>
      </c>
      <c r="C42" s="54" t="s">
        <v>94</v>
      </c>
      <c r="D42" s="54" t="s">
        <v>95</v>
      </c>
      <c r="E42" s="54" t="s">
        <v>92</v>
      </c>
      <c r="F42" s="61" t="b">
        <v>0</v>
      </c>
    </row>
    <row r="43" spans="1:6" ht="24.6">
      <c r="A43" s="54">
        <v>42</v>
      </c>
      <c r="B43" s="56" t="s">
        <v>188</v>
      </c>
      <c r="C43" s="54" t="s">
        <v>94</v>
      </c>
      <c r="D43" s="54" t="s">
        <v>95</v>
      </c>
      <c r="E43" s="54" t="s">
        <v>92</v>
      </c>
      <c r="F43" s="61" t="b">
        <v>0</v>
      </c>
    </row>
    <row r="44" spans="1:6" ht="24.6">
      <c r="A44" s="54">
        <v>43</v>
      </c>
      <c r="B44" s="56" t="s">
        <v>189</v>
      </c>
      <c r="C44" s="54" t="s">
        <v>94</v>
      </c>
      <c r="D44" s="54" t="s">
        <v>95</v>
      </c>
      <c r="E44" s="54" t="s">
        <v>92</v>
      </c>
      <c r="F44" s="61" t="b">
        <v>0</v>
      </c>
    </row>
    <row r="45" spans="1:6" ht="24.6">
      <c r="A45" s="54">
        <v>44</v>
      </c>
      <c r="B45" s="56" t="s">
        <v>190</v>
      </c>
      <c r="C45" s="54" t="s">
        <v>94</v>
      </c>
      <c r="D45" s="54" t="s">
        <v>95</v>
      </c>
      <c r="E45" s="54" t="s">
        <v>92</v>
      </c>
      <c r="F45" s="61" t="b">
        <v>0</v>
      </c>
    </row>
    <row r="46" spans="1:6" ht="24.6">
      <c r="A46" s="54">
        <v>45</v>
      </c>
      <c r="B46" s="56" t="s">
        <v>191</v>
      </c>
      <c r="C46" s="54" t="s">
        <v>94</v>
      </c>
      <c r="D46" s="54" t="s">
        <v>95</v>
      </c>
      <c r="E46" s="54" t="s">
        <v>92</v>
      </c>
      <c r="F46" s="61" t="b">
        <v>0</v>
      </c>
    </row>
    <row r="47" spans="1:6" ht="24.6">
      <c r="A47" s="54">
        <v>46</v>
      </c>
      <c r="B47" s="56" t="s">
        <v>192</v>
      </c>
      <c r="C47" s="54" t="s">
        <v>94</v>
      </c>
      <c r="D47" s="54" t="s">
        <v>95</v>
      </c>
      <c r="E47" s="54" t="s">
        <v>92</v>
      </c>
      <c r="F47" s="61" t="b">
        <v>0</v>
      </c>
    </row>
    <row r="48" spans="1:6" ht="24.6">
      <c r="A48" s="54">
        <v>47</v>
      </c>
      <c r="B48" s="56" t="s">
        <v>193</v>
      </c>
      <c r="C48" s="54" t="s">
        <v>96</v>
      </c>
      <c r="D48" s="54" t="s">
        <v>72</v>
      </c>
      <c r="E48" s="54" t="s">
        <v>97</v>
      </c>
      <c r="F48" s="61" t="b">
        <v>0</v>
      </c>
    </row>
    <row r="49" spans="1:6" ht="24.6">
      <c r="A49" s="54">
        <v>48</v>
      </c>
      <c r="B49" s="56" t="s">
        <v>194</v>
      </c>
      <c r="C49" s="54" t="s">
        <v>96</v>
      </c>
      <c r="D49" s="54" t="s">
        <v>72</v>
      </c>
      <c r="E49" s="54" t="s">
        <v>97</v>
      </c>
      <c r="F49" s="61" t="b">
        <v>0</v>
      </c>
    </row>
    <row r="50" spans="1:6" ht="24.6">
      <c r="A50" s="54">
        <v>49</v>
      </c>
      <c r="B50" s="56" t="s">
        <v>195</v>
      </c>
      <c r="C50" s="54" t="s">
        <v>96</v>
      </c>
      <c r="D50" s="54" t="s">
        <v>72</v>
      </c>
      <c r="E50" s="54" t="s">
        <v>97</v>
      </c>
      <c r="F50" s="61" t="b">
        <v>0</v>
      </c>
    </row>
    <row r="51" spans="1:6" ht="24.6">
      <c r="A51" s="54">
        <v>50</v>
      </c>
      <c r="B51" s="56" t="s">
        <v>196</v>
      </c>
      <c r="C51" s="54" t="s">
        <v>96</v>
      </c>
      <c r="D51" s="54" t="s">
        <v>72</v>
      </c>
      <c r="E51" s="54" t="s">
        <v>97</v>
      </c>
      <c r="F51" s="61" t="b">
        <v>0</v>
      </c>
    </row>
    <row r="52" spans="1:6" ht="24.6">
      <c r="A52" s="54">
        <v>51</v>
      </c>
      <c r="B52" s="56" t="s">
        <v>197</v>
      </c>
      <c r="C52" s="54" t="s">
        <v>98</v>
      </c>
      <c r="D52" s="54" t="s">
        <v>72</v>
      </c>
      <c r="E52" s="54" t="s">
        <v>97</v>
      </c>
      <c r="F52" s="61" t="b">
        <v>0</v>
      </c>
    </row>
    <row r="53" spans="1:6" ht="24.6">
      <c r="A53" s="54">
        <v>52</v>
      </c>
      <c r="B53" s="56" t="s">
        <v>198</v>
      </c>
      <c r="C53" s="54" t="s">
        <v>98</v>
      </c>
      <c r="D53" s="54" t="s">
        <v>72</v>
      </c>
      <c r="E53" s="54" t="s">
        <v>97</v>
      </c>
      <c r="F53" s="61" t="b">
        <v>0</v>
      </c>
    </row>
    <row r="54" spans="1:6" ht="24.6">
      <c r="A54" s="54">
        <v>53</v>
      </c>
      <c r="B54" s="56" t="s">
        <v>199</v>
      </c>
      <c r="C54" s="54" t="s">
        <v>98</v>
      </c>
      <c r="D54" s="54" t="s">
        <v>72</v>
      </c>
      <c r="E54" s="54" t="s">
        <v>97</v>
      </c>
      <c r="F54" s="61" t="b">
        <v>0</v>
      </c>
    </row>
    <row r="55" spans="1:6" ht="24.6">
      <c r="A55" s="54">
        <v>54</v>
      </c>
      <c r="B55" s="56" t="s">
        <v>200</v>
      </c>
      <c r="C55" s="54" t="s">
        <v>99</v>
      </c>
      <c r="D55" s="54" t="s">
        <v>72</v>
      </c>
      <c r="E55" s="54" t="s">
        <v>97</v>
      </c>
      <c r="F55" s="61" t="b">
        <v>0</v>
      </c>
    </row>
    <row r="56" spans="1:6" ht="24.6">
      <c r="A56" s="54">
        <v>55</v>
      </c>
      <c r="B56" s="56" t="s">
        <v>201</v>
      </c>
      <c r="C56" s="54" t="s">
        <v>99</v>
      </c>
      <c r="D56" s="54" t="s">
        <v>72</v>
      </c>
      <c r="E56" s="54" t="s">
        <v>97</v>
      </c>
      <c r="F56" s="61" t="b">
        <v>0</v>
      </c>
    </row>
    <row r="57" spans="1:6" ht="24.6">
      <c r="A57" s="54">
        <v>56</v>
      </c>
      <c r="B57" s="56" t="s">
        <v>202</v>
      </c>
      <c r="C57" s="54" t="s">
        <v>99</v>
      </c>
      <c r="D57" s="54" t="s">
        <v>72</v>
      </c>
      <c r="E57" s="54" t="s">
        <v>97</v>
      </c>
      <c r="F57" s="61" t="b">
        <v>0</v>
      </c>
    </row>
    <row r="58" spans="1:6" ht="24.6">
      <c r="A58" s="54">
        <v>57</v>
      </c>
      <c r="B58" s="56" t="s">
        <v>203</v>
      </c>
      <c r="C58" s="54" t="s">
        <v>99</v>
      </c>
      <c r="D58" s="54" t="s">
        <v>72</v>
      </c>
      <c r="E58" s="54" t="s">
        <v>97</v>
      </c>
      <c r="F58" s="61" t="b">
        <v>0</v>
      </c>
    </row>
    <row r="59" spans="1:6" ht="24.6">
      <c r="A59" s="54">
        <v>58</v>
      </c>
      <c r="B59" s="56" t="s">
        <v>204</v>
      </c>
      <c r="C59" s="54" t="s">
        <v>99</v>
      </c>
      <c r="D59" s="54" t="s">
        <v>72</v>
      </c>
      <c r="E59" s="54" t="s">
        <v>97</v>
      </c>
      <c r="F59" s="61" t="b">
        <v>0</v>
      </c>
    </row>
    <row r="60" spans="1:6" ht="24.6">
      <c r="A60" s="54">
        <v>59</v>
      </c>
      <c r="B60" s="56" t="s">
        <v>205</v>
      </c>
      <c r="C60" s="54" t="s">
        <v>100</v>
      </c>
      <c r="D60" s="54" t="s">
        <v>101</v>
      </c>
      <c r="E60" s="54" t="s">
        <v>97</v>
      </c>
      <c r="F60" s="61" t="b">
        <v>0</v>
      </c>
    </row>
    <row r="61" spans="1:6" ht="24.6">
      <c r="A61" s="54">
        <v>60</v>
      </c>
      <c r="B61" s="56" t="s">
        <v>206</v>
      </c>
      <c r="C61" s="54" t="s">
        <v>100</v>
      </c>
      <c r="D61" s="54" t="s">
        <v>101</v>
      </c>
      <c r="E61" s="54" t="s">
        <v>97</v>
      </c>
      <c r="F61" s="61" t="b">
        <v>0</v>
      </c>
    </row>
    <row r="62" spans="1:6" ht="24.6">
      <c r="A62" s="54">
        <v>61</v>
      </c>
      <c r="B62" s="56" t="s">
        <v>207</v>
      </c>
      <c r="C62" s="54" t="s">
        <v>100</v>
      </c>
      <c r="D62" s="54" t="s">
        <v>101</v>
      </c>
      <c r="E62" s="54" t="s">
        <v>97</v>
      </c>
      <c r="F62" s="61" t="b">
        <v>0</v>
      </c>
    </row>
    <row r="63" spans="1:6" ht="24.6">
      <c r="A63" s="54">
        <v>62</v>
      </c>
      <c r="B63" s="56" t="s">
        <v>208</v>
      </c>
      <c r="C63" s="54" t="s">
        <v>100</v>
      </c>
      <c r="D63" s="54" t="s">
        <v>101</v>
      </c>
      <c r="E63" s="54" t="s">
        <v>97</v>
      </c>
      <c r="F63" s="61" t="b">
        <v>0</v>
      </c>
    </row>
    <row r="64" spans="1:6" ht="24.6">
      <c r="A64" s="54">
        <v>63</v>
      </c>
      <c r="B64" s="56" t="s">
        <v>209</v>
      </c>
      <c r="C64" s="54" t="s">
        <v>100</v>
      </c>
      <c r="D64" s="54" t="s">
        <v>101</v>
      </c>
      <c r="E64" s="54" t="s">
        <v>97</v>
      </c>
      <c r="F64" s="61" t="b">
        <v>0</v>
      </c>
    </row>
    <row r="65" spans="1:6" ht="24.6">
      <c r="A65" s="54">
        <v>64</v>
      </c>
      <c r="B65" s="56" t="s">
        <v>210</v>
      </c>
      <c r="C65" s="54" t="s">
        <v>100</v>
      </c>
      <c r="D65" s="54" t="s">
        <v>101</v>
      </c>
      <c r="E65" s="54" t="s">
        <v>97</v>
      </c>
      <c r="F65" s="61" t="b">
        <v>0</v>
      </c>
    </row>
    <row r="66" spans="1:6" ht="24.6">
      <c r="A66" s="54">
        <v>65</v>
      </c>
      <c r="B66" s="56" t="s">
        <v>211</v>
      </c>
      <c r="C66" s="54" t="s">
        <v>102</v>
      </c>
      <c r="D66" s="54" t="s">
        <v>101</v>
      </c>
      <c r="E66" s="54" t="s">
        <v>97</v>
      </c>
      <c r="F66" s="61" t="b">
        <v>0</v>
      </c>
    </row>
    <row r="67" spans="1:6" ht="24.6">
      <c r="A67" s="54">
        <v>66</v>
      </c>
      <c r="B67" s="56" t="s">
        <v>212</v>
      </c>
      <c r="C67" s="54" t="s">
        <v>102</v>
      </c>
      <c r="D67" s="54" t="s">
        <v>101</v>
      </c>
      <c r="E67" s="54" t="s">
        <v>97</v>
      </c>
      <c r="F67" s="61" t="b">
        <v>0</v>
      </c>
    </row>
    <row r="68" spans="1:6" ht="24.6">
      <c r="A68" s="54">
        <v>67</v>
      </c>
      <c r="B68" s="56" t="s">
        <v>213</v>
      </c>
      <c r="C68" s="54" t="s">
        <v>102</v>
      </c>
      <c r="D68" s="54" t="s">
        <v>101</v>
      </c>
      <c r="E68" s="54" t="s">
        <v>97</v>
      </c>
      <c r="F68" s="61" t="b">
        <v>0</v>
      </c>
    </row>
    <row r="69" spans="1:6" ht="24.6">
      <c r="A69" s="54">
        <v>68</v>
      </c>
      <c r="B69" s="56" t="s">
        <v>214</v>
      </c>
      <c r="C69" s="54" t="s">
        <v>102</v>
      </c>
      <c r="D69" s="54" t="s">
        <v>101</v>
      </c>
      <c r="E69" s="54" t="s">
        <v>97</v>
      </c>
      <c r="F69" s="61" t="b">
        <v>0</v>
      </c>
    </row>
    <row r="70" spans="1:6" ht="24.6">
      <c r="A70" s="54">
        <v>69</v>
      </c>
      <c r="B70" s="56" t="s">
        <v>215</v>
      </c>
      <c r="C70" s="54" t="s">
        <v>102</v>
      </c>
      <c r="D70" s="54" t="s">
        <v>101</v>
      </c>
      <c r="E70" s="54" t="s">
        <v>97</v>
      </c>
      <c r="F70" s="61" t="b">
        <v>0</v>
      </c>
    </row>
    <row r="71" spans="1:6" ht="24.6">
      <c r="A71" s="54">
        <v>70</v>
      </c>
      <c r="B71" s="56" t="s">
        <v>216</v>
      </c>
      <c r="C71" s="54" t="s">
        <v>102</v>
      </c>
      <c r="D71" s="54" t="s">
        <v>101</v>
      </c>
      <c r="E71" s="54" t="s">
        <v>97</v>
      </c>
      <c r="F71" s="61" t="b">
        <v>0</v>
      </c>
    </row>
    <row r="72" spans="1:6" ht="24.6">
      <c r="A72" s="54">
        <v>71</v>
      </c>
      <c r="B72" s="56" t="s">
        <v>217</v>
      </c>
      <c r="C72" s="54" t="s">
        <v>102</v>
      </c>
      <c r="D72" s="54" t="s">
        <v>101</v>
      </c>
      <c r="E72" s="54" t="s">
        <v>97</v>
      </c>
      <c r="F72" s="61" t="b">
        <v>0</v>
      </c>
    </row>
    <row r="73" spans="1:6" ht="24.6">
      <c r="A73" s="54">
        <v>72</v>
      </c>
      <c r="B73" s="56" t="s">
        <v>218</v>
      </c>
      <c r="C73" s="54" t="s">
        <v>102</v>
      </c>
      <c r="D73" s="54" t="s">
        <v>101</v>
      </c>
      <c r="E73" s="54" t="s">
        <v>97</v>
      </c>
      <c r="F73" s="61" t="b">
        <v>0</v>
      </c>
    </row>
    <row r="74" spans="1:6" ht="24.6">
      <c r="A74" s="54">
        <v>73</v>
      </c>
      <c r="B74" s="56" t="s">
        <v>219</v>
      </c>
      <c r="C74" s="54" t="s">
        <v>102</v>
      </c>
      <c r="D74" s="54" t="s">
        <v>101</v>
      </c>
      <c r="E74" s="54" t="s">
        <v>97</v>
      </c>
      <c r="F74" s="61" t="b">
        <v>0</v>
      </c>
    </row>
    <row r="75" spans="1:6" ht="24.6">
      <c r="A75" s="54">
        <v>74</v>
      </c>
      <c r="B75" s="56" t="s">
        <v>220</v>
      </c>
      <c r="C75" s="54" t="s">
        <v>103</v>
      </c>
      <c r="D75" s="54" t="s">
        <v>104</v>
      </c>
      <c r="E75" s="54" t="s">
        <v>105</v>
      </c>
      <c r="F75" s="61" t="b">
        <v>0</v>
      </c>
    </row>
    <row r="76" spans="1:6" ht="24.6">
      <c r="A76" s="54">
        <v>75</v>
      </c>
      <c r="B76" s="56" t="s">
        <v>221</v>
      </c>
      <c r="C76" s="54" t="s">
        <v>106</v>
      </c>
      <c r="D76" s="54" t="s">
        <v>107</v>
      </c>
      <c r="E76" s="54" t="s">
        <v>105</v>
      </c>
      <c r="F76" s="61" t="b">
        <v>0</v>
      </c>
    </row>
    <row r="77" spans="1:6" ht="24.6">
      <c r="A77" s="54">
        <v>76</v>
      </c>
      <c r="B77" s="56" t="s">
        <v>222</v>
      </c>
      <c r="C77" s="54" t="s">
        <v>106</v>
      </c>
      <c r="D77" s="54" t="s">
        <v>107</v>
      </c>
      <c r="E77" s="54" t="s">
        <v>105</v>
      </c>
      <c r="F77" s="61" t="b">
        <v>0</v>
      </c>
    </row>
    <row r="78" spans="1:6" ht="24.6">
      <c r="A78" s="54">
        <v>77</v>
      </c>
      <c r="B78" s="56" t="s">
        <v>223</v>
      </c>
      <c r="C78" s="54" t="s">
        <v>106</v>
      </c>
      <c r="D78" s="54" t="s">
        <v>107</v>
      </c>
      <c r="E78" s="54" t="s">
        <v>105</v>
      </c>
      <c r="F78" s="61" t="b">
        <v>0</v>
      </c>
    </row>
    <row r="79" spans="1:6" ht="24.6">
      <c r="A79" s="54">
        <v>78</v>
      </c>
      <c r="B79" s="56" t="s">
        <v>224</v>
      </c>
      <c r="C79" s="54" t="s">
        <v>106</v>
      </c>
      <c r="D79" s="54" t="s">
        <v>107</v>
      </c>
      <c r="E79" s="54" t="s">
        <v>105</v>
      </c>
      <c r="F79" s="61" t="b">
        <v>0</v>
      </c>
    </row>
    <row r="80" spans="1:6" ht="24.6">
      <c r="A80" s="54">
        <v>79</v>
      </c>
      <c r="B80" s="56" t="s">
        <v>225</v>
      </c>
      <c r="C80" s="54" t="s">
        <v>106</v>
      </c>
      <c r="D80" s="54" t="s">
        <v>107</v>
      </c>
      <c r="E80" s="54" t="s">
        <v>105</v>
      </c>
      <c r="F80" s="61" t="b">
        <v>0</v>
      </c>
    </row>
    <row r="81" spans="1:6" ht="24.6">
      <c r="A81" s="54">
        <v>80</v>
      </c>
      <c r="B81" s="56" t="s">
        <v>226</v>
      </c>
      <c r="C81" s="54" t="s">
        <v>106</v>
      </c>
      <c r="D81" s="54" t="s">
        <v>107</v>
      </c>
      <c r="E81" s="54" t="s">
        <v>105</v>
      </c>
      <c r="F81" s="61" t="b">
        <v>0</v>
      </c>
    </row>
    <row r="82" spans="1:6" ht="24.6">
      <c r="A82" s="54">
        <v>81</v>
      </c>
      <c r="B82" s="56" t="s">
        <v>227</v>
      </c>
      <c r="C82" s="54" t="s">
        <v>108</v>
      </c>
      <c r="D82" s="54" t="s">
        <v>107</v>
      </c>
      <c r="E82" s="54" t="s">
        <v>105</v>
      </c>
      <c r="F82" s="61" t="b">
        <v>0</v>
      </c>
    </row>
    <row r="83" spans="1:6" ht="24.6">
      <c r="A83" s="54">
        <v>82</v>
      </c>
      <c r="B83" s="56" t="s">
        <v>228</v>
      </c>
      <c r="C83" s="54" t="s">
        <v>108</v>
      </c>
      <c r="D83" s="54" t="s">
        <v>107</v>
      </c>
      <c r="E83" s="54" t="s">
        <v>105</v>
      </c>
      <c r="F83" s="61" t="b">
        <v>0</v>
      </c>
    </row>
    <row r="84" spans="1:6" ht="24.6">
      <c r="A84" s="54">
        <v>83</v>
      </c>
      <c r="B84" s="56" t="s">
        <v>229</v>
      </c>
      <c r="C84" s="54" t="s">
        <v>108</v>
      </c>
      <c r="D84" s="54" t="s">
        <v>107</v>
      </c>
      <c r="E84" s="54" t="s">
        <v>105</v>
      </c>
      <c r="F84" s="61" t="b">
        <v>0</v>
      </c>
    </row>
    <row r="85" spans="1:6" ht="24.6">
      <c r="A85" s="54">
        <v>84</v>
      </c>
      <c r="B85" s="56" t="s">
        <v>230</v>
      </c>
      <c r="C85" s="54" t="s">
        <v>108</v>
      </c>
      <c r="D85" s="54" t="s">
        <v>107</v>
      </c>
      <c r="E85" s="54" t="s">
        <v>105</v>
      </c>
      <c r="F85" s="61" t="b">
        <v>0</v>
      </c>
    </row>
    <row r="86" spans="1:6" ht="24.6">
      <c r="A86" s="54">
        <v>85</v>
      </c>
      <c r="B86" s="56" t="s">
        <v>231</v>
      </c>
      <c r="C86" s="54" t="s">
        <v>108</v>
      </c>
      <c r="D86" s="54" t="s">
        <v>107</v>
      </c>
      <c r="E86" s="54" t="s">
        <v>105</v>
      </c>
      <c r="F86" s="61" t="b">
        <v>0</v>
      </c>
    </row>
    <row r="87" spans="1:6" ht="24.6">
      <c r="A87" s="54">
        <v>86</v>
      </c>
      <c r="B87" s="56" t="s">
        <v>232</v>
      </c>
      <c r="C87" s="54" t="s">
        <v>108</v>
      </c>
      <c r="D87" s="54" t="s">
        <v>107</v>
      </c>
      <c r="E87" s="54" t="s">
        <v>105</v>
      </c>
      <c r="F87" s="61" t="b">
        <v>0</v>
      </c>
    </row>
    <row r="88" spans="1:6" ht="24.6">
      <c r="A88" s="54">
        <v>87</v>
      </c>
      <c r="B88" s="56" t="s">
        <v>233</v>
      </c>
      <c r="C88" s="54" t="s">
        <v>108</v>
      </c>
      <c r="D88" s="54" t="s">
        <v>107</v>
      </c>
      <c r="E88" s="54" t="s">
        <v>105</v>
      </c>
      <c r="F88" s="61" t="b">
        <v>0</v>
      </c>
    </row>
    <row r="89" spans="1:6" ht="24.6">
      <c r="A89" s="54">
        <v>88</v>
      </c>
      <c r="B89" s="56" t="s">
        <v>234</v>
      </c>
      <c r="C89" s="54" t="s">
        <v>108</v>
      </c>
      <c r="D89" s="54" t="s">
        <v>107</v>
      </c>
      <c r="E89" s="54" t="s">
        <v>105</v>
      </c>
      <c r="F89" s="61" t="b">
        <v>0</v>
      </c>
    </row>
    <row r="90" spans="1:6" ht="24.6">
      <c r="A90" s="54">
        <v>89</v>
      </c>
      <c r="B90" s="56" t="s">
        <v>235</v>
      </c>
      <c r="C90" s="54" t="s">
        <v>109</v>
      </c>
      <c r="D90" s="54" t="s">
        <v>107</v>
      </c>
      <c r="E90" s="54" t="s">
        <v>105</v>
      </c>
      <c r="F90" s="61" t="b">
        <v>0</v>
      </c>
    </row>
    <row r="91" spans="1:6" ht="24.6">
      <c r="A91" s="54">
        <v>90</v>
      </c>
      <c r="B91" s="56" t="s">
        <v>236</v>
      </c>
      <c r="C91" s="54" t="s">
        <v>110</v>
      </c>
      <c r="D91" s="54" t="s">
        <v>111</v>
      </c>
      <c r="E91" s="54" t="s">
        <v>112</v>
      </c>
      <c r="F91" s="61" t="b">
        <v>0</v>
      </c>
    </row>
    <row r="92" spans="1:6" ht="24.6">
      <c r="A92" s="54">
        <v>91</v>
      </c>
      <c r="B92" s="56" t="s">
        <v>237</v>
      </c>
      <c r="C92" s="54" t="s">
        <v>113</v>
      </c>
      <c r="D92" s="54" t="s">
        <v>111</v>
      </c>
      <c r="E92" s="54" t="s">
        <v>112</v>
      </c>
      <c r="F92" s="61" t="b">
        <v>0</v>
      </c>
    </row>
    <row r="93" spans="1:6" ht="24.6">
      <c r="A93" s="54">
        <v>92</v>
      </c>
      <c r="B93" s="56" t="s">
        <v>238</v>
      </c>
      <c r="C93" s="54" t="s">
        <v>113</v>
      </c>
      <c r="D93" s="54" t="s">
        <v>111</v>
      </c>
      <c r="E93" s="54" t="s">
        <v>112</v>
      </c>
      <c r="F93" s="61" t="b">
        <v>0</v>
      </c>
    </row>
    <row r="94" spans="1:6" ht="24.6">
      <c r="A94" s="54">
        <v>93</v>
      </c>
      <c r="B94" s="56" t="s">
        <v>239</v>
      </c>
      <c r="C94" s="54" t="s">
        <v>113</v>
      </c>
      <c r="D94" s="54" t="s">
        <v>111</v>
      </c>
      <c r="E94" s="54" t="s">
        <v>112</v>
      </c>
      <c r="F94" s="61" t="b">
        <v>0</v>
      </c>
    </row>
    <row r="95" spans="1:6" ht="24.6">
      <c r="A95" s="54">
        <v>94</v>
      </c>
      <c r="B95" s="56" t="s">
        <v>240</v>
      </c>
      <c r="C95" s="54" t="s">
        <v>113</v>
      </c>
      <c r="D95" s="54" t="s">
        <v>111</v>
      </c>
      <c r="E95" s="54" t="s">
        <v>112</v>
      </c>
      <c r="F95" s="61" t="b">
        <v>0</v>
      </c>
    </row>
    <row r="96" spans="1:6" ht="24.6">
      <c r="A96" s="54">
        <v>95</v>
      </c>
      <c r="B96" s="56" t="s">
        <v>241</v>
      </c>
      <c r="C96" s="54" t="s">
        <v>113</v>
      </c>
      <c r="D96" s="54" t="s">
        <v>111</v>
      </c>
      <c r="E96" s="54" t="s">
        <v>112</v>
      </c>
      <c r="F96" s="61" t="b">
        <v>0</v>
      </c>
    </row>
    <row r="97" spans="1:6" ht="24.6">
      <c r="A97" s="54">
        <v>96</v>
      </c>
      <c r="B97" s="56" t="s">
        <v>242</v>
      </c>
      <c r="C97" s="54" t="s">
        <v>113</v>
      </c>
      <c r="D97" s="54" t="s">
        <v>111</v>
      </c>
      <c r="E97" s="54" t="s">
        <v>112</v>
      </c>
      <c r="F97" s="61" t="b">
        <v>0</v>
      </c>
    </row>
    <row r="98" spans="1:6" ht="24.6">
      <c r="A98" s="54">
        <v>97</v>
      </c>
      <c r="B98" s="56" t="s">
        <v>243</v>
      </c>
      <c r="C98" s="54" t="s">
        <v>113</v>
      </c>
      <c r="D98" s="54" t="s">
        <v>111</v>
      </c>
      <c r="E98" s="54" t="s">
        <v>112</v>
      </c>
      <c r="F98" s="61" t="b">
        <v>0</v>
      </c>
    </row>
    <row r="99" spans="1:6" ht="24.6">
      <c r="A99" s="54">
        <v>98</v>
      </c>
      <c r="B99" s="56" t="s">
        <v>244</v>
      </c>
      <c r="C99" s="54" t="s">
        <v>114</v>
      </c>
      <c r="D99" s="54" t="s">
        <v>111</v>
      </c>
      <c r="E99" s="54" t="s">
        <v>112</v>
      </c>
      <c r="F99" s="61" t="b">
        <v>0</v>
      </c>
    </row>
    <row r="100" spans="1:6" ht="24.6">
      <c r="A100" s="54">
        <v>99</v>
      </c>
      <c r="B100" s="56" t="s">
        <v>245</v>
      </c>
      <c r="C100" s="54" t="s">
        <v>114</v>
      </c>
      <c r="D100" s="54" t="s">
        <v>111</v>
      </c>
      <c r="E100" s="54" t="s">
        <v>112</v>
      </c>
      <c r="F100" s="61" t="b">
        <v>0</v>
      </c>
    </row>
    <row r="101" spans="1:6" ht="24.6">
      <c r="A101" s="54">
        <v>100</v>
      </c>
      <c r="B101" s="56" t="s">
        <v>246</v>
      </c>
      <c r="C101" s="54" t="s">
        <v>115</v>
      </c>
      <c r="D101" s="54" t="s">
        <v>73</v>
      </c>
      <c r="E101" s="54" t="s">
        <v>112</v>
      </c>
      <c r="F101" s="61" t="b">
        <v>0</v>
      </c>
    </row>
    <row r="102" spans="1:6" ht="24.6">
      <c r="A102" s="54">
        <v>101</v>
      </c>
      <c r="B102" s="56" t="s">
        <v>247</v>
      </c>
      <c r="C102" s="54" t="s">
        <v>115</v>
      </c>
      <c r="D102" s="54" t="s">
        <v>73</v>
      </c>
      <c r="E102" s="54" t="s">
        <v>112</v>
      </c>
      <c r="F102" s="61" t="b">
        <v>0</v>
      </c>
    </row>
    <row r="103" spans="1:6" ht="24.6">
      <c r="A103" s="54">
        <v>102</v>
      </c>
      <c r="B103" s="56" t="s">
        <v>248</v>
      </c>
      <c r="C103" s="54" t="s">
        <v>115</v>
      </c>
      <c r="D103" s="54" t="s">
        <v>73</v>
      </c>
      <c r="E103" s="54" t="s">
        <v>112</v>
      </c>
      <c r="F103" s="61" t="b">
        <v>0</v>
      </c>
    </row>
    <row r="104" spans="1:6" ht="24.6">
      <c r="A104" s="54">
        <v>103</v>
      </c>
      <c r="B104" s="56" t="s">
        <v>249</v>
      </c>
      <c r="C104" s="54" t="s">
        <v>115</v>
      </c>
      <c r="D104" s="54" t="s">
        <v>73</v>
      </c>
      <c r="E104" s="54" t="s">
        <v>112</v>
      </c>
      <c r="F104" s="61" t="b">
        <v>0</v>
      </c>
    </row>
    <row r="105" spans="1:6" ht="24.6">
      <c r="A105" s="54">
        <v>104</v>
      </c>
      <c r="B105" s="56" t="s">
        <v>250</v>
      </c>
      <c r="C105" s="54" t="s">
        <v>115</v>
      </c>
      <c r="D105" s="54" t="s">
        <v>73</v>
      </c>
      <c r="E105" s="54" t="s">
        <v>112</v>
      </c>
      <c r="F105" s="61" t="b">
        <v>0</v>
      </c>
    </row>
    <row r="106" spans="1:6" ht="24.6">
      <c r="A106" s="54">
        <v>105</v>
      </c>
      <c r="B106" s="56" t="s">
        <v>251</v>
      </c>
      <c r="C106" s="54" t="s">
        <v>116</v>
      </c>
      <c r="D106" s="54" t="s">
        <v>73</v>
      </c>
      <c r="E106" s="54" t="s">
        <v>112</v>
      </c>
      <c r="F106" s="61" t="b">
        <v>0</v>
      </c>
    </row>
    <row r="107" spans="1:6" ht="24.6">
      <c r="A107" s="54">
        <v>106</v>
      </c>
      <c r="B107" s="56" t="s">
        <v>252</v>
      </c>
      <c r="C107" s="54" t="s">
        <v>116</v>
      </c>
      <c r="D107" s="54" t="s">
        <v>73</v>
      </c>
      <c r="E107" s="54" t="s">
        <v>112</v>
      </c>
      <c r="F107" s="61" t="b">
        <v>0</v>
      </c>
    </row>
    <row r="108" spans="1:6" ht="24.6">
      <c r="A108" s="54">
        <v>107</v>
      </c>
      <c r="B108" s="56" t="s">
        <v>253</v>
      </c>
      <c r="C108" s="54" t="s">
        <v>117</v>
      </c>
      <c r="D108" s="54" t="s">
        <v>118</v>
      </c>
      <c r="E108" s="54" t="s">
        <v>119</v>
      </c>
      <c r="F108" s="61" t="b">
        <v>0</v>
      </c>
    </row>
    <row r="109" spans="1:6" ht="24.6">
      <c r="A109" s="54">
        <v>108</v>
      </c>
      <c r="B109" s="56" t="s">
        <v>254</v>
      </c>
      <c r="C109" s="54" t="s">
        <v>117</v>
      </c>
      <c r="D109" s="54" t="s">
        <v>118</v>
      </c>
      <c r="E109" s="54" t="s">
        <v>119</v>
      </c>
      <c r="F109" s="61" t="b">
        <v>0</v>
      </c>
    </row>
    <row r="110" spans="1:6" ht="24.6">
      <c r="A110" s="54">
        <v>109</v>
      </c>
      <c r="B110" s="56" t="s">
        <v>255</v>
      </c>
      <c r="C110" s="54" t="s">
        <v>117</v>
      </c>
      <c r="D110" s="54" t="s">
        <v>118</v>
      </c>
      <c r="E110" s="54" t="s">
        <v>119</v>
      </c>
      <c r="F110" s="61" t="b">
        <v>0</v>
      </c>
    </row>
    <row r="111" spans="1:6" ht="24.6">
      <c r="A111" s="54">
        <v>110</v>
      </c>
      <c r="B111" s="56" t="s">
        <v>256</v>
      </c>
      <c r="C111" s="54" t="s">
        <v>117</v>
      </c>
      <c r="D111" s="54" t="s">
        <v>118</v>
      </c>
      <c r="E111" s="54" t="s">
        <v>119</v>
      </c>
      <c r="F111" s="61" t="b">
        <v>0</v>
      </c>
    </row>
    <row r="112" spans="1:6" ht="24.6">
      <c r="A112" s="54">
        <v>111</v>
      </c>
      <c r="B112" s="56" t="s">
        <v>257</v>
      </c>
      <c r="C112" s="54" t="s">
        <v>117</v>
      </c>
      <c r="D112" s="54" t="s">
        <v>118</v>
      </c>
      <c r="E112" s="54" t="s">
        <v>119</v>
      </c>
      <c r="F112" s="61" t="b">
        <v>0</v>
      </c>
    </row>
    <row r="113" spans="1:6" ht="24.6">
      <c r="A113" s="54">
        <v>112</v>
      </c>
      <c r="B113" s="56" t="s">
        <v>258</v>
      </c>
      <c r="C113" s="54" t="s">
        <v>117</v>
      </c>
      <c r="D113" s="54" t="s">
        <v>118</v>
      </c>
      <c r="E113" s="54" t="s">
        <v>119</v>
      </c>
      <c r="F113" s="61" t="b">
        <v>0</v>
      </c>
    </row>
    <row r="114" spans="1:6" ht="24.6">
      <c r="A114" s="54">
        <v>113</v>
      </c>
      <c r="B114" s="56" t="s">
        <v>259</v>
      </c>
      <c r="C114" s="54" t="s">
        <v>117</v>
      </c>
      <c r="D114" s="54" t="s">
        <v>118</v>
      </c>
      <c r="E114" s="54" t="s">
        <v>119</v>
      </c>
      <c r="F114" s="61" t="b">
        <v>0</v>
      </c>
    </row>
    <row r="115" spans="1:6" ht="24.6">
      <c r="A115" s="54">
        <v>114</v>
      </c>
      <c r="B115" s="56" t="s">
        <v>260</v>
      </c>
      <c r="C115" s="54" t="s">
        <v>117</v>
      </c>
      <c r="D115" s="54" t="s">
        <v>118</v>
      </c>
      <c r="E115" s="54" t="s">
        <v>119</v>
      </c>
      <c r="F115" s="61" t="b">
        <v>0</v>
      </c>
    </row>
    <row r="116" spans="1:6" ht="24.6">
      <c r="A116" s="54">
        <v>115</v>
      </c>
      <c r="B116" s="56" t="s">
        <v>261</v>
      </c>
      <c r="C116" s="54" t="s">
        <v>117</v>
      </c>
      <c r="D116" s="54" t="s">
        <v>118</v>
      </c>
      <c r="E116" s="54" t="s">
        <v>119</v>
      </c>
      <c r="F116" s="61" t="b">
        <v>0</v>
      </c>
    </row>
    <row r="117" spans="1:6" ht="24.6">
      <c r="A117" s="54">
        <v>116</v>
      </c>
      <c r="B117" s="56" t="s">
        <v>262</v>
      </c>
      <c r="C117" s="54" t="s">
        <v>120</v>
      </c>
      <c r="D117" s="54" t="s">
        <v>74</v>
      </c>
      <c r="E117" s="54" t="s">
        <v>119</v>
      </c>
      <c r="F117" s="61" t="b">
        <v>0</v>
      </c>
    </row>
    <row r="118" spans="1:6" ht="24.6">
      <c r="A118" s="54">
        <v>117</v>
      </c>
      <c r="B118" s="56" t="s">
        <v>263</v>
      </c>
      <c r="C118" s="54" t="s">
        <v>120</v>
      </c>
      <c r="D118" s="54" t="s">
        <v>74</v>
      </c>
      <c r="E118" s="54" t="s">
        <v>119</v>
      </c>
      <c r="F118" s="61" t="b">
        <v>0</v>
      </c>
    </row>
    <row r="119" spans="1:6" ht="24.6">
      <c r="A119" s="54">
        <v>118</v>
      </c>
      <c r="B119" s="56" t="s">
        <v>264</v>
      </c>
      <c r="C119" s="54" t="s">
        <v>120</v>
      </c>
      <c r="D119" s="54" t="s">
        <v>74</v>
      </c>
      <c r="E119" s="54" t="s">
        <v>119</v>
      </c>
      <c r="F119" s="61" t="b">
        <v>0</v>
      </c>
    </row>
    <row r="120" spans="1:6" ht="24.6">
      <c r="A120" s="54">
        <v>119</v>
      </c>
      <c r="B120" s="56" t="s">
        <v>265</v>
      </c>
      <c r="C120" s="54" t="s">
        <v>120</v>
      </c>
      <c r="D120" s="54" t="s">
        <v>74</v>
      </c>
      <c r="E120" s="54" t="s">
        <v>119</v>
      </c>
      <c r="F120" s="61" t="b">
        <v>0</v>
      </c>
    </row>
    <row r="121" spans="1:6" ht="24.6">
      <c r="A121" s="54">
        <v>120</v>
      </c>
      <c r="B121" s="56" t="s">
        <v>266</v>
      </c>
      <c r="C121" s="54" t="s">
        <v>121</v>
      </c>
      <c r="D121" s="54" t="s">
        <v>74</v>
      </c>
      <c r="E121" s="54" t="s">
        <v>119</v>
      </c>
      <c r="F121" s="61" t="b">
        <v>0</v>
      </c>
    </row>
    <row r="122" spans="1:6" ht="24.6">
      <c r="A122" s="54">
        <v>121</v>
      </c>
      <c r="B122" s="56" t="s">
        <v>267</v>
      </c>
      <c r="C122" s="54" t="s">
        <v>121</v>
      </c>
      <c r="D122" s="54" t="s">
        <v>74</v>
      </c>
      <c r="E122" s="54" t="s">
        <v>119</v>
      </c>
      <c r="F122" s="61" t="b">
        <v>0</v>
      </c>
    </row>
    <row r="123" spans="1:6" ht="24.6">
      <c r="A123" s="54">
        <v>122</v>
      </c>
      <c r="B123" s="56" t="s">
        <v>268</v>
      </c>
      <c r="C123" s="54" t="s">
        <v>121</v>
      </c>
      <c r="D123" s="54" t="s">
        <v>74</v>
      </c>
      <c r="E123" s="54" t="s">
        <v>119</v>
      </c>
      <c r="F123" s="61" t="b">
        <v>0</v>
      </c>
    </row>
    <row r="124" spans="1:6" ht="24.6">
      <c r="A124" s="54">
        <v>123</v>
      </c>
      <c r="B124" s="56" t="s">
        <v>269</v>
      </c>
      <c r="C124" s="54" t="s">
        <v>121</v>
      </c>
      <c r="D124" s="54" t="s">
        <v>74</v>
      </c>
      <c r="E124" s="54" t="s">
        <v>119</v>
      </c>
      <c r="F124" s="61" t="b">
        <v>0</v>
      </c>
    </row>
    <row r="125" spans="1:6" ht="24.6">
      <c r="A125" s="54">
        <v>124</v>
      </c>
      <c r="B125" s="56" t="s">
        <v>270</v>
      </c>
      <c r="C125" s="54" t="s">
        <v>121</v>
      </c>
      <c r="D125" s="54" t="s">
        <v>74</v>
      </c>
      <c r="E125" s="54" t="s">
        <v>119</v>
      </c>
      <c r="F125" s="61" t="b">
        <v>0</v>
      </c>
    </row>
    <row r="126" spans="1:6" ht="24.6">
      <c r="A126" s="54">
        <v>125</v>
      </c>
      <c r="B126" s="56" t="s">
        <v>271</v>
      </c>
      <c r="C126" s="54" t="s">
        <v>121</v>
      </c>
      <c r="D126" s="54" t="s">
        <v>74</v>
      </c>
      <c r="E126" s="54" t="s">
        <v>119</v>
      </c>
      <c r="F126" s="61" t="b">
        <v>0</v>
      </c>
    </row>
    <row r="127" spans="1:6" ht="24.6">
      <c r="A127" s="54">
        <v>126</v>
      </c>
      <c r="B127" s="56" t="s">
        <v>272</v>
      </c>
      <c r="C127" s="54" t="s">
        <v>121</v>
      </c>
      <c r="D127" s="54" t="s">
        <v>74</v>
      </c>
      <c r="E127" s="54" t="s">
        <v>119</v>
      </c>
      <c r="F127" s="61" t="b">
        <v>0</v>
      </c>
    </row>
    <row r="128" spans="1:6" ht="24.6">
      <c r="A128" s="54">
        <v>127</v>
      </c>
      <c r="B128" s="56" t="s">
        <v>273</v>
      </c>
      <c r="C128" s="54" t="s">
        <v>121</v>
      </c>
      <c r="D128" s="54" t="s">
        <v>74</v>
      </c>
      <c r="E128" s="54" t="s">
        <v>119</v>
      </c>
      <c r="F128" s="61" t="b">
        <v>0</v>
      </c>
    </row>
    <row r="129" spans="1:6" ht="24.6">
      <c r="A129" s="54">
        <v>128</v>
      </c>
      <c r="B129" s="56" t="s">
        <v>274</v>
      </c>
      <c r="C129" s="54" t="s">
        <v>121</v>
      </c>
      <c r="D129" s="54" t="s">
        <v>74</v>
      </c>
      <c r="E129" s="54" t="s">
        <v>119</v>
      </c>
      <c r="F129" s="61" t="b">
        <v>0</v>
      </c>
    </row>
    <row r="130" spans="1:6" ht="24.6">
      <c r="A130" s="54">
        <v>129</v>
      </c>
      <c r="B130" s="56" t="s">
        <v>275</v>
      </c>
      <c r="C130" s="54" t="s">
        <v>121</v>
      </c>
      <c r="D130" s="54" t="s">
        <v>74</v>
      </c>
      <c r="E130" s="54" t="s">
        <v>119</v>
      </c>
      <c r="F130" s="61" t="b">
        <v>0</v>
      </c>
    </row>
    <row r="131" spans="1:6" ht="24.6">
      <c r="A131" s="54">
        <v>130</v>
      </c>
      <c r="B131" s="56" t="s">
        <v>276</v>
      </c>
      <c r="C131" s="54" t="s">
        <v>121</v>
      </c>
      <c r="D131" s="54" t="s">
        <v>74</v>
      </c>
      <c r="E131" s="54" t="s">
        <v>119</v>
      </c>
      <c r="F131" s="61" t="b">
        <v>0</v>
      </c>
    </row>
    <row r="132" spans="1:6" ht="24.6">
      <c r="A132" s="54">
        <v>131</v>
      </c>
      <c r="B132" s="56" t="s">
        <v>277</v>
      </c>
      <c r="C132" s="54" t="s">
        <v>122</v>
      </c>
      <c r="D132" s="54" t="s">
        <v>123</v>
      </c>
      <c r="E132" s="54" t="s">
        <v>124</v>
      </c>
      <c r="F132" s="61" t="b">
        <v>0</v>
      </c>
    </row>
    <row r="133" spans="1:6" ht="24.6">
      <c r="A133" s="54">
        <v>132</v>
      </c>
      <c r="B133" s="56" t="s">
        <v>278</v>
      </c>
      <c r="C133" s="54" t="s">
        <v>125</v>
      </c>
      <c r="D133" s="54" t="s">
        <v>126</v>
      </c>
      <c r="E133" s="54" t="s">
        <v>124</v>
      </c>
      <c r="F133" s="61" t="b">
        <v>0</v>
      </c>
    </row>
    <row r="134" spans="1:6" ht="24.6">
      <c r="A134" s="54">
        <v>133</v>
      </c>
      <c r="B134" s="56" t="s">
        <v>279</v>
      </c>
      <c r="C134" s="54" t="s">
        <v>125</v>
      </c>
      <c r="D134" s="54" t="s">
        <v>126</v>
      </c>
      <c r="E134" s="54" t="s">
        <v>124</v>
      </c>
      <c r="F134" s="61" t="b">
        <v>0</v>
      </c>
    </row>
    <row r="135" spans="1:6" ht="24.6">
      <c r="A135" s="54">
        <v>134</v>
      </c>
      <c r="B135" s="56" t="s">
        <v>280</v>
      </c>
      <c r="C135" s="54" t="s">
        <v>125</v>
      </c>
      <c r="D135" s="54" t="s">
        <v>126</v>
      </c>
      <c r="E135" s="54" t="s">
        <v>124</v>
      </c>
      <c r="F135" s="61" t="b">
        <v>0</v>
      </c>
    </row>
    <row r="136" spans="1:6" ht="24.6">
      <c r="A136" s="54">
        <v>135</v>
      </c>
      <c r="B136" s="56" t="s">
        <v>281</v>
      </c>
      <c r="C136" s="54" t="s">
        <v>125</v>
      </c>
      <c r="D136" s="54" t="s">
        <v>126</v>
      </c>
      <c r="E136" s="54" t="s">
        <v>124</v>
      </c>
      <c r="F136" s="61" t="b">
        <v>0</v>
      </c>
    </row>
    <row r="137" spans="1:6" ht="24.6">
      <c r="A137" s="54">
        <v>136</v>
      </c>
      <c r="B137" s="56" t="s">
        <v>282</v>
      </c>
      <c r="C137" s="54" t="s">
        <v>125</v>
      </c>
      <c r="D137" s="54" t="s">
        <v>126</v>
      </c>
      <c r="E137" s="54" t="s">
        <v>124</v>
      </c>
      <c r="F137" s="61" t="b">
        <v>0</v>
      </c>
    </row>
    <row r="138" spans="1:6" ht="24.6">
      <c r="A138" s="54">
        <v>137</v>
      </c>
      <c r="B138" s="56" t="s">
        <v>283</v>
      </c>
      <c r="C138" s="54" t="s">
        <v>125</v>
      </c>
      <c r="D138" s="54" t="s">
        <v>126</v>
      </c>
      <c r="E138" s="54" t="s">
        <v>124</v>
      </c>
      <c r="F138" s="61" t="b">
        <v>0</v>
      </c>
    </row>
    <row r="139" spans="1:6" ht="24.6">
      <c r="A139" s="54">
        <v>138</v>
      </c>
      <c r="B139" s="56" t="s">
        <v>284</v>
      </c>
      <c r="C139" s="54" t="s">
        <v>125</v>
      </c>
      <c r="D139" s="54" t="s">
        <v>126</v>
      </c>
      <c r="E139" s="54" t="s">
        <v>124</v>
      </c>
      <c r="F139" s="61" t="b">
        <v>0</v>
      </c>
    </row>
    <row r="140" spans="1:6" ht="24.6">
      <c r="A140" s="54">
        <v>139</v>
      </c>
      <c r="B140" s="56" t="s">
        <v>285</v>
      </c>
      <c r="C140" s="54" t="s">
        <v>125</v>
      </c>
      <c r="D140" s="54" t="s">
        <v>126</v>
      </c>
      <c r="E140" s="54" t="s">
        <v>124</v>
      </c>
      <c r="F140" s="61" t="b">
        <v>0</v>
      </c>
    </row>
    <row r="141" spans="1:6" ht="24.6">
      <c r="A141" s="54">
        <v>140</v>
      </c>
      <c r="B141" s="56" t="s">
        <v>286</v>
      </c>
      <c r="C141" s="54" t="s">
        <v>125</v>
      </c>
      <c r="D141" s="54" t="s">
        <v>126</v>
      </c>
      <c r="E141" s="54" t="s">
        <v>124</v>
      </c>
      <c r="F141" s="61" t="b">
        <v>0</v>
      </c>
    </row>
    <row r="142" spans="1:6" ht="24.6">
      <c r="A142" s="54">
        <v>141</v>
      </c>
      <c r="B142" s="56" t="s">
        <v>287</v>
      </c>
      <c r="C142" s="54" t="s">
        <v>125</v>
      </c>
      <c r="D142" s="54" t="s">
        <v>126</v>
      </c>
      <c r="E142" s="54" t="s">
        <v>124</v>
      </c>
      <c r="F142" s="61" t="b">
        <v>0</v>
      </c>
    </row>
    <row r="143" spans="1:6" ht="24.6">
      <c r="A143" s="54">
        <v>142</v>
      </c>
      <c r="B143" s="56" t="s">
        <v>288</v>
      </c>
      <c r="C143" s="54" t="s">
        <v>289</v>
      </c>
      <c r="D143" s="54" t="s">
        <v>126</v>
      </c>
      <c r="E143" s="54" t="s">
        <v>124</v>
      </c>
      <c r="F143" s="61" t="b">
        <v>0</v>
      </c>
    </row>
    <row r="144" spans="1:6" ht="24.6">
      <c r="A144" s="54">
        <v>143</v>
      </c>
      <c r="B144" s="56" t="s">
        <v>290</v>
      </c>
      <c r="C144" s="54" t="s">
        <v>289</v>
      </c>
      <c r="D144" s="54" t="s">
        <v>126</v>
      </c>
      <c r="E144" s="54" t="s">
        <v>124</v>
      </c>
      <c r="F144" s="61" t="b">
        <v>0</v>
      </c>
    </row>
    <row r="145" spans="1:6" ht="24.6">
      <c r="A145" s="54">
        <v>144</v>
      </c>
      <c r="B145" s="56" t="s">
        <v>291</v>
      </c>
      <c r="C145" s="54" t="s">
        <v>127</v>
      </c>
      <c r="D145" s="54" t="s">
        <v>126</v>
      </c>
      <c r="E145" s="54" t="s">
        <v>124</v>
      </c>
      <c r="F145" s="61" t="b">
        <v>0</v>
      </c>
    </row>
    <row r="146" spans="1:6" ht="24.6">
      <c r="A146" s="54">
        <v>145</v>
      </c>
      <c r="B146" s="56" t="s">
        <v>292</v>
      </c>
      <c r="C146" s="54" t="s">
        <v>127</v>
      </c>
      <c r="D146" s="54" t="s">
        <v>126</v>
      </c>
      <c r="E146" s="54" t="s">
        <v>124</v>
      </c>
      <c r="F146" s="61" t="b">
        <v>0</v>
      </c>
    </row>
    <row r="147" spans="1:6" ht="24.6">
      <c r="A147" s="54">
        <v>146</v>
      </c>
      <c r="B147" s="56" t="s">
        <v>293</v>
      </c>
      <c r="C147" s="54" t="s">
        <v>127</v>
      </c>
      <c r="D147" s="54" t="s">
        <v>126</v>
      </c>
      <c r="E147" s="54" t="s">
        <v>124</v>
      </c>
      <c r="F147" s="61" t="b">
        <v>0</v>
      </c>
    </row>
    <row r="148" spans="1:6" ht="24.6">
      <c r="A148" s="54">
        <v>147</v>
      </c>
      <c r="B148" s="56" t="s">
        <v>294</v>
      </c>
      <c r="C148" s="54" t="s">
        <v>128</v>
      </c>
      <c r="D148" s="54" t="s">
        <v>75</v>
      </c>
      <c r="E148" s="54" t="s">
        <v>124</v>
      </c>
      <c r="F148" s="61" t="b">
        <v>0</v>
      </c>
    </row>
    <row r="149" spans="1:6" ht="24.6">
      <c r="A149" s="54">
        <v>148</v>
      </c>
      <c r="B149" s="56" t="s">
        <v>295</v>
      </c>
      <c r="C149" s="54" t="s">
        <v>128</v>
      </c>
      <c r="D149" s="54" t="s">
        <v>75</v>
      </c>
      <c r="E149" s="54" t="s">
        <v>124</v>
      </c>
      <c r="F149" s="61" t="b">
        <v>0</v>
      </c>
    </row>
    <row r="150" spans="1:6" ht="24.6">
      <c r="A150" s="54">
        <v>149</v>
      </c>
      <c r="B150" s="56" t="s">
        <v>129</v>
      </c>
      <c r="C150" s="54" t="s">
        <v>130</v>
      </c>
      <c r="D150" s="54" t="s">
        <v>75</v>
      </c>
      <c r="E150" s="54" t="s">
        <v>124</v>
      </c>
      <c r="F150" s="61" t="b">
        <v>0</v>
      </c>
    </row>
    <row r="151" spans="1:6" ht="24.6">
      <c r="A151" s="54">
        <v>150</v>
      </c>
      <c r="B151" s="56" t="s">
        <v>296</v>
      </c>
      <c r="C151" s="54" t="s">
        <v>130</v>
      </c>
      <c r="D151" s="54" t="s">
        <v>75</v>
      </c>
      <c r="E151" s="54" t="s">
        <v>124</v>
      </c>
      <c r="F151" s="61" t="b">
        <v>0</v>
      </c>
    </row>
    <row r="152" spans="1:6" ht="24.6">
      <c r="A152" s="54">
        <v>151</v>
      </c>
      <c r="B152" s="56" t="s">
        <v>297</v>
      </c>
      <c r="C152" s="54" t="s">
        <v>131</v>
      </c>
      <c r="D152" s="54" t="s">
        <v>132</v>
      </c>
      <c r="E152" s="54" t="s">
        <v>133</v>
      </c>
      <c r="F152" s="61" t="b">
        <v>0</v>
      </c>
    </row>
    <row r="153" spans="1:6" ht="24.6">
      <c r="A153" s="54">
        <v>152</v>
      </c>
      <c r="B153" s="56" t="s">
        <v>298</v>
      </c>
      <c r="C153" s="54" t="s">
        <v>131</v>
      </c>
      <c r="D153" s="54" t="s">
        <v>132</v>
      </c>
      <c r="E153" s="54" t="s">
        <v>133</v>
      </c>
      <c r="F153" s="61" t="b">
        <v>0</v>
      </c>
    </row>
    <row r="154" spans="1:6" ht="24.6">
      <c r="A154" s="54">
        <v>153</v>
      </c>
      <c r="B154" s="56" t="s">
        <v>299</v>
      </c>
      <c r="C154" s="54" t="s">
        <v>131</v>
      </c>
      <c r="D154" s="54" t="s">
        <v>132</v>
      </c>
      <c r="E154" s="54" t="s">
        <v>133</v>
      </c>
      <c r="F154" s="61" t="b">
        <v>0</v>
      </c>
    </row>
    <row r="155" spans="1:6" ht="24.6">
      <c r="A155" s="54">
        <v>154</v>
      </c>
      <c r="B155" s="56" t="s">
        <v>300</v>
      </c>
      <c r="C155" s="54" t="s">
        <v>131</v>
      </c>
      <c r="D155" s="54" t="s">
        <v>132</v>
      </c>
      <c r="E155" s="54" t="s">
        <v>133</v>
      </c>
      <c r="F155" s="61" t="b">
        <v>0</v>
      </c>
    </row>
    <row r="156" spans="1:6" ht="24.6">
      <c r="A156" s="54">
        <v>155</v>
      </c>
      <c r="B156" s="56" t="s">
        <v>301</v>
      </c>
      <c r="C156" s="54" t="s">
        <v>131</v>
      </c>
      <c r="D156" s="54" t="s">
        <v>132</v>
      </c>
      <c r="E156" s="54" t="s">
        <v>133</v>
      </c>
      <c r="F156" s="61" t="b">
        <v>0</v>
      </c>
    </row>
    <row r="157" spans="1:6" ht="24.6">
      <c r="A157" s="54">
        <v>156</v>
      </c>
      <c r="B157" s="56" t="s">
        <v>302</v>
      </c>
      <c r="C157" s="54" t="s">
        <v>303</v>
      </c>
      <c r="D157" s="54" t="s">
        <v>76</v>
      </c>
      <c r="E157" s="54" t="s">
        <v>134</v>
      </c>
      <c r="F157" s="61" t="b">
        <v>0</v>
      </c>
    </row>
    <row r="158" spans="1:6" ht="24.6">
      <c r="A158" s="54">
        <v>157</v>
      </c>
      <c r="B158" s="56" t="s">
        <v>304</v>
      </c>
      <c r="C158" s="54" t="s">
        <v>303</v>
      </c>
      <c r="D158" s="54" t="s">
        <v>76</v>
      </c>
      <c r="E158" s="54" t="s">
        <v>134</v>
      </c>
      <c r="F158" s="61" t="b">
        <v>0</v>
      </c>
    </row>
    <row r="159" spans="1:6" ht="24.6">
      <c r="A159" s="54">
        <v>158</v>
      </c>
      <c r="B159" s="56" t="s">
        <v>305</v>
      </c>
      <c r="C159" s="54" t="s">
        <v>303</v>
      </c>
      <c r="D159" s="54" t="s">
        <v>76</v>
      </c>
      <c r="E159" s="54" t="s">
        <v>134</v>
      </c>
      <c r="F159" s="61" t="b">
        <v>0</v>
      </c>
    </row>
    <row r="160" spans="1:6" ht="24.6">
      <c r="A160" s="54">
        <v>159</v>
      </c>
      <c r="B160" s="56" t="s">
        <v>306</v>
      </c>
      <c r="C160" s="54" t="s">
        <v>303</v>
      </c>
      <c r="D160" s="54" t="s">
        <v>76</v>
      </c>
      <c r="E160" s="54" t="s">
        <v>134</v>
      </c>
      <c r="F160" s="61" t="b">
        <v>0</v>
      </c>
    </row>
    <row r="161" spans="1:6" ht="24.6">
      <c r="A161" s="55">
        <v>160</v>
      </c>
      <c r="B161" s="56" t="s">
        <v>307</v>
      </c>
      <c r="C161" s="55" t="s">
        <v>135</v>
      </c>
      <c r="D161" s="55" t="s">
        <v>136</v>
      </c>
      <c r="E161" s="55" t="s">
        <v>137</v>
      </c>
      <c r="F161" s="61" t="b">
        <v>0</v>
      </c>
    </row>
    <row r="162" spans="1:6" ht="24.6">
      <c r="A162" s="54">
        <v>161</v>
      </c>
      <c r="B162" s="56" t="s">
        <v>308</v>
      </c>
      <c r="C162" s="54" t="s">
        <v>138</v>
      </c>
      <c r="D162" s="54" t="s">
        <v>136</v>
      </c>
      <c r="E162" s="54" t="s">
        <v>137</v>
      </c>
      <c r="F162" s="61" t="b">
        <v>0</v>
      </c>
    </row>
    <row r="163" spans="1:6" ht="24.6">
      <c r="A163" s="54">
        <v>162</v>
      </c>
      <c r="B163" s="56" t="s">
        <v>309</v>
      </c>
      <c r="C163" s="54" t="s">
        <v>138</v>
      </c>
      <c r="D163" s="54" t="s">
        <v>136</v>
      </c>
      <c r="E163" s="54" t="s">
        <v>137</v>
      </c>
      <c r="F163" s="61" t="b">
        <v>0</v>
      </c>
    </row>
    <row r="164" spans="1:6" ht="24.6">
      <c r="A164" s="54">
        <v>163</v>
      </c>
      <c r="B164" s="56" t="s">
        <v>310</v>
      </c>
      <c r="C164" s="54" t="s">
        <v>139</v>
      </c>
      <c r="D164" s="54" t="s">
        <v>136</v>
      </c>
      <c r="E164" s="54" t="s">
        <v>137</v>
      </c>
      <c r="F164" s="61" t="b">
        <v>0</v>
      </c>
    </row>
    <row r="165" spans="1:6" ht="24.6">
      <c r="A165" s="54">
        <v>164</v>
      </c>
      <c r="B165" s="56" t="s">
        <v>311</v>
      </c>
      <c r="C165" s="54" t="s">
        <v>139</v>
      </c>
      <c r="D165" s="54" t="s">
        <v>136</v>
      </c>
      <c r="E165" s="54" t="s">
        <v>137</v>
      </c>
      <c r="F165" s="61" t="b">
        <v>0</v>
      </c>
    </row>
    <row r="166" spans="1:6" ht="24.6">
      <c r="A166" s="54">
        <v>165</v>
      </c>
      <c r="B166" s="56" t="s">
        <v>312</v>
      </c>
      <c r="C166" s="54" t="s">
        <v>139</v>
      </c>
      <c r="D166" s="54" t="s">
        <v>136</v>
      </c>
      <c r="E166" s="54" t="s">
        <v>137</v>
      </c>
      <c r="F166" s="61" t="b">
        <v>0</v>
      </c>
    </row>
    <row r="167" spans="1:6" ht="24.6">
      <c r="A167" s="54">
        <v>166</v>
      </c>
      <c r="B167" s="56" t="s">
        <v>313</v>
      </c>
      <c r="C167" s="54" t="s">
        <v>139</v>
      </c>
      <c r="D167" s="54" t="s">
        <v>136</v>
      </c>
      <c r="E167" s="54" t="s">
        <v>137</v>
      </c>
      <c r="F167" s="61" t="b">
        <v>0</v>
      </c>
    </row>
    <row r="168" spans="1:6" ht="24.6">
      <c r="A168" s="54">
        <v>167</v>
      </c>
      <c r="B168" s="56" t="s">
        <v>314</v>
      </c>
      <c r="C168" s="54" t="s">
        <v>139</v>
      </c>
      <c r="D168" s="54" t="s">
        <v>136</v>
      </c>
      <c r="E168" s="54" t="s">
        <v>137</v>
      </c>
      <c r="F168" s="61" t="b">
        <v>0</v>
      </c>
    </row>
    <row r="169" spans="1:6" ht="24.6">
      <c r="A169" s="54">
        <v>168</v>
      </c>
      <c r="B169" s="56" t="s">
        <v>315</v>
      </c>
      <c r="C169" s="54" t="s">
        <v>139</v>
      </c>
      <c r="D169" s="54" t="s">
        <v>136</v>
      </c>
      <c r="E169" s="54" t="s">
        <v>137</v>
      </c>
      <c r="F169" s="61" t="b">
        <v>0</v>
      </c>
    </row>
    <row r="170" spans="1:6" ht="24.6">
      <c r="A170" s="54">
        <v>169</v>
      </c>
      <c r="B170" s="56" t="s">
        <v>316</v>
      </c>
      <c r="C170" s="54" t="s">
        <v>139</v>
      </c>
      <c r="D170" s="54" t="s">
        <v>136</v>
      </c>
      <c r="E170" s="54" t="s">
        <v>137</v>
      </c>
      <c r="F170" s="61" t="b">
        <v>0</v>
      </c>
    </row>
    <row r="171" spans="1:6" ht="24.6">
      <c r="A171" s="54">
        <v>170</v>
      </c>
      <c r="B171" s="56" t="s">
        <v>317</v>
      </c>
      <c r="C171" s="54" t="s">
        <v>139</v>
      </c>
      <c r="D171" s="54" t="s">
        <v>136</v>
      </c>
      <c r="E171" s="54" t="s">
        <v>137</v>
      </c>
      <c r="F171" s="61" t="b">
        <v>0</v>
      </c>
    </row>
    <row r="172" spans="1:6" ht="24.6">
      <c r="A172" s="54">
        <v>171</v>
      </c>
      <c r="B172" s="56" t="s">
        <v>318</v>
      </c>
      <c r="C172" s="54" t="s">
        <v>139</v>
      </c>
      <c r="D172" s="54" t="s">
        <v>136</v>
      </c>
      <c r="E172" s="54" t="s">
        <v>137</v>
      </c>
      <c r="F172" s="61" t="b">
        <v>0</v>
      </c>
    </row>
    <row r="173" spans="1:6" ht="24.6">
      <c r="A173" s="54">
        <v>172</v>
      </c>
      <c r="B173" s="56" t="s">
        <v>319</v>
      </c>
      <c r="C173" s="54" t="s">
        <v>139</v>
      </c>
      <c r="D173" s="54" t="s">
        <v>136</v>
      </c>
      <c r="E173" s="54" t="s">
        <v>137</v>
      </c>
      <c r="F173" s="61" t="b">
        <v>0</v>
      </c>
    </row>
    <row r="174" spans="1:6" ht="24.6">
      <c r="A174" s="54">
        <v>173</v>
      </c>
      <c r="B174" s="56" t="s">
        <v>320</v>
      </c>
      <c r="C174" s="54" t="s">
        <v>139</v>
      </c>
      <c r="D174" s="54" t="s">
        <v>136</v>
      </c>
      <c r="E174" s="54" t="s">
        <v>137</v>
      </c>
      <c r="F174" s="61" t="b">
        <v>0</v>
      </c>
    </row>
    <row r="175" spans="1:6" ht="24.6">
      <c r="A175" s="54">
        <v>174</v>
      </c>
      <c r="B175" s="56" t="s">
        <v>321</v>
      </c>
      <c r="C175" s="54" t="s">
        <v>139</v>
      </c>
      <c r="D175" s="54" t="s">
        <v>136</v>
      </c>
      <c r="E175" s="54" t="s">
        <v>137</v>
      </c>
      <c r="F175" s="61" t="b">
        <v>0</v>
      </c>
    </row>
    <row r="176" spans="1:6" ht="24.6">
      <c r="A176" s="54">
        <v>175</v>
      </c>
      <c r="B176" s="56" t="s">
        <v>322</v>
      </c>
      <c r="C176" s="54" t="s">
        <v>139</v>
      </c>
      <c r="D176" s="54" t="s">
        <v>136</v>
      </c>
      <c r="E176" s="54" t="s">
        <v>137</v>
      </c>
      <c r="F176" s="61" t="b">
        <v>0</v>
      </c>
    </row>
    <row r="177" spans="1:6" ht="24.6">
      <c r="A177" s="54">
        <v>176</v>
      </c>
      <c r="B177" s="56" t="s">
        <v>323</v>
      </c>
      <c r="C177" s="54" t="s">
        <v>139</v>
      </c>
      <c r="D177" s="54" t="s">
        <v>136</v>
      </c>
      <c r="E177" s="54" t="s">
        <v>137</v>
      </c>
      <c r="F177" s="61" t="b">
        <v>0</v>
      </c>
    </row>
    <row r="178" spans="1:6" ht="24.6">
      <c r="A178" s="54">
        <v>177</v>
      </c>
      <c r="B178" s="56" t="s">
        <v>324</v>
      </c>
      <c r="C178" s="54" t="s">
        <v>139</v>
      </c>
      <c r="D178" s="54" t="s">
        <v>136</v>
      </c>
      <c r="E178" s="54" t="s">
        <v>137</v>
      </c>
      <c r="F178" s="61" t="b">
        <v>0</v>
      </c>
    </row>
    <row r="179" spans="1:6" ht="24.6">
      <c r="A179" s="54">
        <v>178</v>
      </c>
      <c r="B179" s="56" t="s">
        <v>325</v>
      </c>
      <c r="C179" s="54" t="s">
        <v>139</v>
      </c>
      <c r="D179" s="54" t="s">
        <v>136</v>
      </c>
      <c r="E179" s="54" t="s">
        <v>137</v>
      </c>
      <c r="F179" s="61" t="b">
        <v>0</v>
      </c>
    </row>
    <row r="180" spans="1:6" ht="24.6">
      <c r="A180" s="54">
        <v>179</v>
      </c>
      <c r="B180" s="56" t="s">
        <v>326</v>
      </c>
      <c r="C180" s="54" t="s">
        <v>139</v>
      </c>
      <c r="D180" s="54" t="s">
        <v>136</v>
      </c>
      <c r="E180" s="54" t="s">
        <v>137</v>
      </c>
      <c r="F180" s="61" t="b">
        <v>0</v>
      </c>
    </row>
    <row r="181" spans="1:6" ht="24.6">
      <c r="A181" s="54">
        <v>180</v>
      </c>
      <c r="B181" s="56" t="s">
        <v>327</v>
      </c>
      <c r="C181" s="54" t="s">
        <v>139</v>
      </c>
      <c r="D181" s="54" t="s">
        <v>136</v>
      </c>
      <c r="E181" s="54" t="s">
        <v>137</v>
      </c>
      <c r="F181" s="61" t="b">
        <v>0</v>
      </c>
    </row>
    <row r="182" spans="1:6" ht="24.6">
      <c r="A182" s="54">
        <v>181</v>
      </c>
      <c r="B182" s="56" t="s">
        <v>328</v>
      </c>
      <c r="C182" s="54" t="s">
        <v>140</v>
      </c>
      <c r="D182" s="54" t="s">
        <v>141</v>
      </c>
      <c r="E182" s="54" t="s">
        <v>137</v>
      </c>
      <c r="F182" s="6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57DA-B53F-4EF5-81D4-89FE6AB9FDC7}">
  <dimension ref="A1:E705"/>
  <sheetViews>
    <sheetView topLeftCell="A677" workbookViewId="0">
      <selection activeCell="F528" sqref="F528"/>
    </sheetView>
  </sheetViews>
  <sheetFormatPr defaultColWidth="9" defaultRowHeight="13.8"/>
  <cols>
    <col min="1" max="1" width="13.5" style="35" bestFit="1" customWidth="1"/>
    <col min="2" max="2" width="9" style="36"/>
    <col min="3" max="3" width="13.19921875" style="36" bestFit="1" customWidth="1"/>
    <col min="4" max="4" width="14.5" style="36" bestFit="1" customWidth="1"/>
    <col min="5" max="5" width="9" style="36"/>
    <col min="6" max="16384" width="9" style="35"/>
  </cols>
  <sheetData>
    <row r="1" spans="1:5" s="37" customFormat="1">
      <c r="A1" s="37" t="s">
        <v>78</v>
      </c>
      <c r="B1" s="38" t="s">
        <v>79</v>
      </c>
      <c r="C1" s="38" t="s">
        <v>80</v>
      </c>
      <c r="D1" s="38" t="s">
        <v>81</v>
      </c>
      <c r="E1" s="38"/>
    </row>
    <row r="2" spans="1:5">
      <c r="A2" s="39" t="s">
        <v>42</v>
      </c>
      <c r="B2" s="42">
        <v>46235</v>
      </c>
      <c r="C2" s="40">
        <f t="shared" ref="C2:C33" si="0">IF(D2="",100,MAX(0,(1440-D2)/1440*100))</f>
        <v>100</v>
      </c>
    </row>
    <row r="3" spans="1:5">
      <c r="A3" s="39" t="s">
        <v>42</v>
      </c>
      <c r="B3" s="42">
        <v>46236</v>
      </c>
      <c r="C3" s="40">
        <f t="shared" si="0"/>
        <v>100</v>
      </c>
    </row>
    <row r="4" spans="1:5">
      <c r="A4" s="39" t="s">
        <v>42</v>
      </c>
      <c r="B4" s="42">
        <v>46237</v>
      </c>
      <c r="C4" s="40">
        <f t="shared" si="0"/>
        <v>100</v>
      </c>
    </row>
    <row r="5" spans="1:5">
      <c r="A5" s="39" t="s">
        <v>42</v>
      </c>
      <c r="B5" s="42">
        <v>46238</v>
      </c>
      <c r="C5" s="40">
        <f t="shared" si="0"/>
        <v>100</v>
      </c>
    </row>
    <row r="6" spans="1:5">
      <c r="A6" s="41" t="s">
        <v>42</v>
      </c>
      <c r="B6" s="42">
        <v>46239</v>
      </c>
      <c r="C6" s="40">
        <f t="shared" si="0"/>
        <v>100</v>
      </c>
    </row>
    <row r="7" spans="1:5">
      <c r="A7" s="41" t="s">
        <v>42</v>
      </c>
      <c r="B7" s="42">
        <v>46240</v>
      </c>
      <c r="C7" s="40">
        <f t="shared" si="0"/>
        <v>100</v>
      </c>
    </row>
    <row r="8" spans="1:5">
      <c r="A8" s="41" t="s">
        <v>42</v>
      </c>
      <c r="B8" s="42">
        <v>46241</v>
      </c>
      <c r="C8" s="40">
        <f t="shared" si="0"/>
        <v>99.791666666666671</v>
      </c>
      <c r="D8" s="36">
        <v>3</v>
      </c>
    </row>
    <row r="9" spans="1:5">
      <c r="A9" s="39" t="s">
        <v>42</v>
      </c>
      <c r="B9" s="42">
        <v>46242</v>
      </c>
      <c r="C9" s="40">
        <f t="shared" si="0"/>
        <v>100</v>
      </c>
    </row>
    <row r="10" spans="1:5">
      <c r="A10" s="39" t="s">
        <v>42</v>
      </c>
      <c r="B10" s="42">
        <v>46243</v>
      </c>
      <c r="C10" s="40">
        <f t="shared" si="0"/>
        <v>100</v>
      </c>
    </row>
    <row r="11" spans="1:5">
      <c r="A11" s="39" t="s">
        <v>42</v>
      </c>
      <c r="B11" s="42">
        <v>46244</v>
      </c>
      <c r="C11" s="40">
        <f t="shared" si="0"/>
        <v>100</v>
      </c>
    </row>
    <row r="12" spans="1:5">
      <c r="A12" s="39" t="s">
        <v>42</v>
      </c>
      <c r="B12" s="42">
        <v>46245</v>
      </c>
      <c r="C12" s="40">
        <f t="shared" si="0"/>
        <v>100</v>
      </c>
    </row>
    <row r="13" spans="1:5">
      <c r="A13" s="41" t="s">
        <v>42</v>
      </c>
      <c r="B13" s="42">
        <v>46246</v>
      </c>
      <c r="C13" s="40">
        <f t="shared" si="0"/>
        <v>100</v>
      </c>
    </row>
    <row r="14" spans="1:5">
      <c r="A14" s="41" t="s">
        <v>42</v>
      </c>
      <c r="B14" s="42">
        <v>46247</v>
      </c>
      <c r="C14" s="40">
        <f t="shared" si="0"/>
        <v>100</v>
      </c>
    </row>
    <row r="15" spans="1:5">
      <c r="A15" s="41" t="s">
        <v>42</v>
      </c>
      <c r="B15" s="42">
        <v>46248</v>
      </c>
      <c r="C15" s="40">
        <f t="shared" si="0"/>
        <v>100</v>
      </c>
    </row>
    <row r="16" spans="1:5">
      <c r="A16" s="39" t="s">
        <v>42</v>
      </c>
      <c r="B16" s="42">
        <v>46249</v>
      </c>
      <c r="C16" s="40">
        <f t="shared" si="0"/>
        <v>100</v>
      </c>
    </row>
    <row r="17" spans="1:4">
      <c r="A17" s="39" t="s">
        <v>42</v>
      </c>
      <c r="B17" s="42">
        <v>46250</v>
      </c>
      <c r="C17" s="40">
        <f t="shared" si="0"/>
        <v>100</v>
      </c>
    </row>
    <row r="18" spans="1:4">
      <c r="A18" s="39" t="s">
        <v>42</v>
      </c>
      <c r="B18" s="42">
        <v>46251</v>
      </c>
      <c r="C18" s="40">
        <f t="shared" si="0"/>
        <v>100</v>
      </c>
    </row>
    <row r="19" spans="1:4">
      <c r="A19" s="39" t="s">
        <v>42</v>
      </c>
      <c r="B19" s="42">
        <v>46252</v>
      </c>
      <c r="C19" s="40">
        <f t="shared" si="0"/>
        <v>100</v>
      </c>
    </row>
    <row r="20" spans="1:4">
      <c r="A20" s="41" t="s">
        <v>42</v>
      </c>
      <c r="B20" s="42">
        <v>46253</v>
      </c>
      <c r="C20" s="40">
        <f t="shared" si="0"/>
        <v>100</v>
      </c>
    </row>
    <row r="21" spans="1:4">
      <c r="A21" s="41" t="s">
        <v>42</v>
      </c>
      <c r="B21" s="42">
        <v>46254</v>
      </c>
      <c r="C21" s="40">
        <f t="shared" si="0"/>
        <v>100</v>
      </c>
    </row>
    <row r="22" spans="1:4">
      <c r="A22" s="41" t="s">
        <v>42</v>
      </c>
      <c r="B22" s="42">
        <v>46255</v>
      </c>
      <c r="C22" s="40">
        <f t="shared" si="0"/>
        <v>100</v>
      </c>
    </row>
    <row r="23" spans="1:4">
      <c r="A23" s="39" t="s">
        <v>42</v>
      </c>
      <c r="B23" s="42">
        <v>46256</v>
      </c>
      <c r="C23" s="40">
        <f t="shared" si="0"/>
        <v>100</v>
      </c>
    </row>
    <row r="24" spans="1:4">
      <c r="A24" s="39" t="s">
        <v>42</v>
      </c>
      <c r="B24" s="42">
        <v>46257</v>
      </c>
      <c r="C24" s="40">
        <f t="shared" si="0"/>
        <v>100</v>
      </c>
    </row>
    <row r="25" spans="1:4">
      <c r="A25" s="39" t="s">
        <v>42</v>
      </c>
      <c r="B25" s="42">
        <v>46258</v>
      </c>
      <c r="C25" s="40">
        <f t="shared" si="0"/>
        <v>100</v>
      </c>
    </row>
    <row r="26" spans="1:4">
      <c r="A26" s="39" t="s">
        <v>42</v>
      </c>
      <c r="B26" s="42">
        <v>46259</v>
      </c>
      <c r="C26" s="40">
        <f t="shared" si="0"/>
        <v>100</v>
      </c>
    </row>
    <row r="27" spans="1:4">
      <c r="A27" s="41" t="s">
        <v>42</v>
      </c>
      <c r="B27" s="42">
        <v>46260</v>
      </c>
      <c r="C27" s="40">
        <f t="shared" si="0"/>
        <v>100</v>
      </c>
    </row>
    <row r="28" spans="1:4">
      <c r="A28" s="41" t="s">
        <v>42</v>
      </c>
      <c r="B28" s="42">
        <v>46261</v>
      </c>
      <c r="C28" s="40">
        <f t="shared" si="0"/>
        <v>100</v>
      </c>
    </row>
    <row r="29" spans="1:4">
      <c r="A29" s="41" t="s">
        <v>42</v>
      </c>
      <c r="B29" s="42">
        <v>46262</v>
      </c>
      <c r="C29" s="40">
        <f t="shared" si="0"/>
        <v>100</v>
      </c>
    </row>
    <row r="30" spans="1:4">
      <c r="A30" s="39" t="s">
        <v>42</v>
      </c>
      <c r="B30" s="42">
        <v>46263</v>
      </c>
      <c r="C30" s="40">
        <f t="shared" si="0"/>
        <v>100</v>
      </c>
    </row>
    <row r="31" spans="1:4">
      <c r="A31" s="39" t="s">
        <v>42</v>
      </c>
      <c r="B31" s="42">
        <v>46264</v>
      </c>
      <c r="C31" s="40">
        <f t="shared" si="0"/>
        <v>100</v>
      </c>
    </row>
    <row r="32" spans="1:4">
      <c r="A32" s="39" t="s">
        <v>42</v>
      </c>
      <c r="B32" s="42">
        <v>46265</v>
      </c>
      <c r="C32" s="40">
        <f t="shared" si="0"/>
        <v>99.722222222222229</v>
      </c>
      <c r="D32" s="36">
        <v>4</v>
      </c>
    </row>
    <row r="33" spans="1:3">
      <c r="A33" s="39" t="s">
        <v>23</v>
      </c>
      <c r="B33" s="42">
        <v>46235</v>
      </c>
      <c r="C33" s="40">
        <f t="shared" si="0"/>
        <v>100</v>
      </c>
    </row>
    <row r="34" spans="1:3">
      <c r="A34" s="41" t="s">
        <v>23</v>
      </c>
      <c r="B34" s="42">
        <v>46236</v>
      </c>
      <c r="C34" s="40">
        <f t="shared" ref="C34:C65" si="1">IF(D34="",100,MAX(0,(1440-D34)/1440*100))</f>
        <v>100</v>
      </c>
    </row>
    <row r="35" spans="1:3">
      <c r="A35" s="41" t="s">
        <v>23</v>
      </c>
      <c r="B35" s="42">
        <v>46237</v>
      </c>
      <c r="C35" s="40">
        <f t="shared" si="1"/>
        <v>100</v>
      </c>
    </row>
    <row r="36" spans="1:3">
      <c r="A36" s="41" t="s">
        <v>23</v>
      </c>
      <c r="B36" s="42">
        <v>46238</v>
      </c>
      <c r="C36" s="40">
        <f t="shared" si="1"/>
        <v>100</v>
      </c>
    </row>
    <row r="37" spans="1:3">
      <c r="A37" s="39" t="s">
        <v>23</v>
      </c>
      <c r="B37" s="42">
        <v>46239</v>
      </c>
      <c r="C37" s="40">
        <f t="shared" si="1"/>
        <v>100</v>
      </c>
    </row>
    <row r="38" spans="1:3">
      <c r="A38" s="39" t="s">
        <v>23</v>
      </c>
      <c r="B38" s="42">
        <v>46240</v>
      </c>
      <c r="C38" s="40">
        <f t="shared" si="1"/>
        <v>100</v>
      </c>
    </row>
    <row r="39" spans="1:3">
      <c r="A39" s="39" t="s">
        <v>23</v>
      </c>
      <c r="B39" s="42">
        <v>46241</v>
      </c>
      <c r="C39" s="40">
        <f t="shared" si="1"/>
        <v>100</v>
      </c>
    </row>
    <row r="40" spans="1:3">
      <c r="A40" s="39" t="s">
        <v>23</v>
      </c>
      <c r="B40" s="42">
        <v>46242</v>
      </c>
      <c r="C40" s="40">
        <f t="shared" si="1"/>
        <v>100</v>
      </c>
    </row>
    <row r="41" spans="1:3">
      <c r="A41" s="41" t="s">
        <v>23</v>
      </c>
      <c r="B41" s="42">
        <v>46243</v>
      </c>
      <c r="C41" s="40">
        <f t="shared" si="1"/>
        <v>100</v>
      </c>
    </row>
    <row r="42" spans="1:3">
      <c r="A42" s="41" t="s">
        <v>23</v>
      </c>
      <c r="B42" s="42">
        <v>46244</v>
      </c>
      <c r="C42" s="40">
        <f t="shared" si="1"/>
        <v>100</v>
      </c>
    </row>
    <row r="43" spans="1:3">
      <c r="A43" s="41" t="s">
        <v>23</v>
      </c>
      <c r="B43" s="42">
        <v>46245</v>
      </c>
      <c r="C43" s="40">
        <f t="shared" si="1"/>
        <v>100</v>
      </c>
    </row>
    <row r="44" spans="1:3">
      <c r="A44" s="39" t="s">
        <v>23</v>
      </c>
      <c r="B44" s="42">
        <v>46246</v>
      </c>
      <c r="C44" s="40">
        <f t="shared" si="1"/>
        <v>100</v>
      </c>
    </row>
    <row r="45" spans="1:3">
      <c r="A45" s="39" t="s">
        <v>23</v>
      </c>
      <c r="B45" s="42">
        <v>46247</v>
      </c>
      <c r="C45" s="40">
        <f t="shared" si="1"/>
        <v>100</v>
      </c>
    </row>
    <row r="46" spans="1:3">
      <c r="A46" s="39" t="s">
        <v>23</v>
      </c>
      <c r="B46" s="42">
        <v>46248</v>
      </c>
      <c r="C46" s="40">
        <f t="shared" si="1"/>
        <v>100</v>
      </c>
    </row>
    <row r="47" spans="1:3">
      <c r="A47" s="39" t="s">
        <v>23</v>
      </c>
      <c r="B47" s="42">
        <v>46249</v>
      </c>
      <c r="C47" s="40">
        <f t="shared" si="1"/>
        <v>100</v>
      </c>
    </row>
    <row r="48" spans="1:3">
      <c r="A48" s="41" t="s">
        <v>23</v>
      </c>
      <c r="B48" s="42">
        <v>46250</v>
      </c>
      <c r="C48" s="40">
        <f t="shared" si="1"/>
        <v>100</v>
      </c>
    </row>
    <row r="49" spans="1:3">
      <c r="A49" s="41" t="s">
        <v>23</v>
      </c>
      <c r="B49" s="42">
        <v>46251</v>
      </c>
      <c r="C49" s="40">
        <f t="shared" si="1"/>
        <v>100</v>
      </c>
    </row>
    <row r="50" spans="1:3">
      <c r="A50" s="41" t="s">
        <v>23</v>
      </c>
      <c r="B50" s="42">
        <v>46252</v>
      </c>
      <c r="C50" s="40">
        <f t="shared" si="1"/>
        <v>100</v>
      </c>
    </row>
    <row r="51" spans="1:3">
      <c r="A51" s="39" t="s">
        <v>23</v>
      </c>
      <c r="B51" s="42">
        <v>46253</v>
      </c>
      <c r="C51" s="40">
        <f t="shared" si="1"/>
        <v>100</v>
      </c>
    </row>
    <row r="52" spans="1:3">
      <c r="A52" s="39" t="s">
        <v>23</v>
      </c>
      <c r="B52" s="42">
        <v>46254</v>
      </c>
      <c r="C52" s="40">
        <f t="shared" si="1"/>
        <v>100</v>
      </c>
    </row>
    <row r="53" spans="1:3">
      <c r="A53" s="39" t="s">
        <v>23</v>
      </c>
      <c r="B53" s="42">
        <v>46255</v>
      </c>
      <c r="C53" s="40">
        <f t="shared" si="1"/>
        <v>100</v>
      </c>
    </row>
    <row r="54" spans="1:3">
      <c r="A54" s="39" t="s">
        <v>23</v>
      </c>
      <c r="B54" s="42">
        <v>46256</v>
      </c>
      <c r="C54" s="40">
        <f t="shared" si="1"/>
        <v>100</v>
      </c>
    </row>
    <row r="55" spans="1:3">
      <c r="A55" s="41" t="s">
        <v>23</v>
      </c>
      <c r="B55" s="42">
        <v>46257</v>
      </c>
      <c r="C55" s="40">
        <f t="shared" si="1"/>
        <v>100</v>
      </c>
    </row>
    <row r="56" spans="1:3">
      <c r="A56" s="41" t="s">
        <v>23</v>
      </c>
      <c r="B56" s="42">
        <v>46258</v>
      </c>
      <c r="C56" s="40">
        <f t="shared" si="1"/>
        <v>100</v>
      </c>
    </row>
    <row r="57" spans="1:3">
      <c r="A57" s="41" t="s">
        <v>23</v>
      </c>
      <c r="B57" s="42">
        <v>46259</v>
      </c>
      <c r="C57" s="40">
        <f t="shared" si="1"/>
        <v>100</v>
      </c>
    </row>
    <row r="58" spans="1:3">
      <c r="A58" s="39" t="s">
        <v>23</v>
      </c>
      <c r="B58" s="42">
        <v>46260</v>
      </c>
      <c r="C58" s="40">
        <f t="shared" si="1"/>
        <v>100</v>
      </c>
    </row>
    <row r="59" spans="1:3">
      <c r="A59" s="39" t="s">
        <v>23</v>
      </c>
      <c r="B59" s="42">
        <v>46261</v>
      </c>
      <c r="C59" s="40">
        <f t="shared" si="1"/>
        <v>100</v>
      </c>
    </row>
    <row r="60" spans="1:3">
      <c r="A60" s="39" t="s">
        <v>23</v>
      </c>
      <c r="B60" s="42">
        <v>46262</v>
      </c>
      <c r="C60" s="40">
        <f t="shared" si="1"/>
        <v>100</v>
      </c>
    </row>
    <row r="61" spans="1:3">
      <c r="A61" s="39" t="s">
        <v>23</v>
      </c>
      <c r="B61" s="42">
        <v>46263</v>
      </c>
      <c r="C61" s="40">
        <f t="shared" si="1"/>
        <v>100</v>
      </c>
    </row>
    <row r="62" spans="1:3">
      <c r="A62" s="41" t="s">
        <v>23</v>
      </c>
      <c r="B62" s="42">
        <v>46264</v>
      </c>
      <c r="C62" s="40">
        <f t="shared" si="1"/>
        <v>100</v>
      </c>
    </row>
    <row r="63" spans="1:3">
      <c r="A63" s="41" t="s">
        <v>23</v>
      </c>
      <c r="B63" s="42">
        <v>46265</v>
      </c>
      <c r="C63" s="40">
        <f t="shared" si="1"/>
        <v>100</v>
      </c>
    </row>
    <row r="64" spans="1:3">
      <c r="A64" s="41" t="s">
        <v>24</v>
      </c>
      <c r="B64" s="42">
        <v>46235</v>
      </c>
      <c r="C64" s="40">
        <f t="shared" si="1"/>
        <v>100</v>
      </c>
    </row>
    <row r="65" spans="1:4">
      <c r="A65" s="39" t="s">
        <v>24</v>
      </c>
      <c r="B65" s="42">
        <v>46236</v>
      </c>
      <c r="C65" s="40">
        <f t="shared" si="1"/>
        <v>100</v>
      </c>
    </row>
    <row r="66" spans="1:4">
      <c r="A66" s="39" t="s">
        <v>24</v>
      </c>
      <c r="B66" s="42">
        <v>46237</v>
      </c>
      <c r="C66" s="40">
        <f t="shared" ref="C66:C97" si="2">IF(D66="",100,MAX(0,(1440-D66)/1440*100))</f>
        <v>100</v>
      </c>
    </row>
    <row r="67" spans="1:4">
      <c r="A67" s="39" t="s">
        <v>24</v>
      </c>
      <c r="B67" s="42">
        <v>46238</v>
      </c>
      <c r="C67" s="40">
        <f t="shared" si="2"/>
        <v>99.652777777777786</v>
      </c>
      <c r="D67" s="36">
        <v>5</v>
      </c>
    </row>
    <row r="68" spans="1:4">
      <c r="A68" s="39" t="s">
        <v>24</v>
      </c>
      <c r="B68" s="42">
        <v>46239</v>
      </c>
      <c r="C68" s="40">
        <f t="shared" si="2"/>
        <v>100</v>
      </c>
    </row>
    <row r="69" spans="1:4">
      <c r="A69" s="41" t="s">
        <v>24</v>
      </c>
      <c r="B69" s="42">
        <v>46240</v>
      </c>
      <c r="C69" s="40">
        <f t="shared" si="2"/>
        <v>100</v>
      </c>
    </row>
    <row r="70" spans="1:4">
      <c r="A70" s="41" t="s">
        <v>24</v>
      </c>
      <c r="B70" s="42">
        <v>46241</v>
      </c>
      <c r="C70" s="40">
        <f t="shared" si="2"/>
        <v>100</v>
      </c>
    </row>
    <row r="71" spans="1:4">
      <c r="A71" s="41" t="s">
        <v>24</v>
      </c>
      <c r="B71" s="42">
        <v>46242</v>
      </c>
      <c r="C71" s="40">
        <f t="shared" si="2"/>
        <v>100</v>
      </c>
    </row>
    <row r="72" spans="1:4">
      <c r="A72" s="39" t="s">
        <v>24</v>
      </c>
      <c r="B72" s="42">
        <v>46243</v>
      </c>
      <c r="C72" s="40">
        <f t="shared" si="2"/>
        <v>100</v>
      </c>
    </row>
    <row r="73" spans="1:4">
      <c r="A73" s="39" t="s">
        <v>24</v>
      </c>
      <c r="B73" s="42">
        <v>46244</v>
      </c>
      <c r="C73" s="40">
        <f t="shared" si="2"/>
        <v>100</v>
      </c>
    </row>
    <row r="74" spans="1:4">
      <c r="A74" s="39" t="s">
        <v>24</v>
      </c>
      <c r="B74" s="42">
        <v>46245</v>
      </c>
      <c r="C74" s="40">
        <f t="shared" si="2"/>
        <v>100</v>
      </c>
    </row>
    <row r="75" spans="1:4">
      <c r="A75" s="39" t="s">
        <v>24</v>
      </c>
      <c r="B75" s="42">
        <v>46246</v>
      </c>
      <c r="C75" s="40">
        <f t="shared" si="2"/>
        <v>100</v>
      </c>
    </row>
    <row r="76" spans="1:4">
      <c r="A76" s="41" t="s">
        <v>24</v>
      </c>
      <c r="B76" s="42">
        <v>46247</v>
      </c>
      <c r="C76" s="40">
        <f t="shared" si="2"/>
        <v>100</v>
      </c>
    </row>
    <row r="77" spans="1:4">
      <c r="A77" s="41" t="s">
        <v>24</v>
      </c>
      <c r="B77" s="42">
        <v>46248</v>
      </c>
      <c r="C77" s="40">
        <f t="shared" si="2"/>
        <v>100</v>
      </c>
    </row>
    <row r="78" spans="1:4">
      <c r="A78" s="41" t="s">
        <v>24</v>
      </c>
      <c r="B78" s="42">
        <v>46249</v>
      </c>
      <c r="C78" s="40">
        <f t="shared" si="2"/>
        <v>100</v>
      </c>
    </row>
    <row r="79" spans="1:4">
      <c r="A79" s="39" t="s">
        <v>24</v>
      </c>
      <c r="B79" s="42">
        <v>46250</v>
      </c>
      <c r="C79" s="40">
        <f t="shared" si="2"/>
        <v>100</v>
      </c>
    </row>
    <row r="80" spans="1:4">
      <c r="A80" s="39" t="s">
        <v>24</v>
      </c>
      <c r="B80" s="42">
        <v>46251</v>
      </c>
      <c r="C80" s="40">
        <f t="shared" si="2"/>
        <v>100</v>
      </c>
    </row>
    <row r="81" spans="1:3">
      <c r="A81" s="39" t="s">
        <v>24</v>
      </c>
      <c r="B81" s="42">
        <v>46252</v>
      </c>
      <c r="C81" s="40">
        <f t="shared" si="2"/>
        <v>100</v>
      </c>
    </row>
    <row r="82" spans="1:3">
      <c r="A82" s="39" t="s">
        <v>24</v>
      </c>
      <c r="B82" s="42">
        <v>46253</v>
      </c>
      <c r="C82" s="40">
        <f t="shared" si="2"/>
        <v>100</v>
      </c>
    </row>
    <row r="83" spans="1:3">
      <c r="A83" s="41" t="s">
        <v>24</v>
      </c>
      <c r="B83" s="42">
        <v>46254</v>
      </c>
      <c r="C83" s="40">
        <f t="shared" si="2"/>
        <v>100</v>
      </c>
    </row>
    <row r="84" spans="1:3">
      <c r="A84" s="41" t="s">
        <v>24</v>
      </c>
      <c r="B84" s="42">
        <v>46255</v>
      </c>
      <c r="C84" s="40">
        <f t="shared" si="2"/>
        <v>100</v>
      </c>
    </row>
    <row r="85" spans="1:3">
      <c r="A85" s="41" t="s">
        <v>24</v>
      </c>
      <c r="B85" s="42">
        <v>46256</v>
      </c>
      <c r="C85" s="40">
        <f t="shared" si="2"/>
        <v>100</v>
      </c>
    </row>
    <row r="86" spans="1:3">
      <c r="A86" s="39" t="s">
        <v>24</v>
      </c>
      <c r="B86" s="42">
        <v>46257</v>
      </c>
      <c r="C86" s="40">
        <f t="shared" si="2"/>
        <v>100</v>
      </c>
    </row>
    <row r="87" spans="1:3">
      <c r="A87" s="39" t="s">
        <v>24</v>
      </c>
      <c r="B87" s="42">
        <v>46258</v>
      </c>
      <c r="C87" s="40">
        <f t="shared" si="2"/>
        <v>100</v>
      </c>
    </row>
    <row r="88" spans="1:3">
      <c r="A88" s="39" t="s">
        <v>24</v>
      </c>
      <c r="B88" s="42">
        <v>46259</v>
      </c>
      <c r="C88" s="40">
        <f t="shared" si="2"/>
        <v>100</v>
      </c>
    </row>
    <row r="89" spans="1:3">
      <c r="A89" s="39" t="s">
        <v>24</v>
      </c>
      <c r="B89" s="42">
        <v>46260</v>
      </c>
      <c r="C89" s="40">
        <f t="shared" si="2"/>
        <v>100</v>
      </c>
    </row>
    <row r="90" spans="1:3">
      <c r="A90" s="41" t="s">
        <v>24</v>
      </c>
      <c r="B90" s="42">
        <v>46261</v>
      </c>
      <c r="C90" s="40">
        <f t="shared" si="2"/>
        <v>100</v>
      </c>
    </row>
    <row r="91" spans="1:3">
      <c r="A91" s="41" t="s">
        <v>24</v>
      </c>
      <c r="B91" s="42">
        <v>46262</v>
      </c>
      <c r="C91" s="40">
        <f t="shared" si="2"/>
        <v>100</v>
      </c>
    </row>
    <row r="92" spans="1:3">
      <c r="A92" s="41" t="s">
        <v>24</v>
      </c>
      <c r="B92" s="42">
        <v>46263</v>
      </c>
      <c r="C92" s="40">
        <f t="shared" si="2"/>
        <v>100</v>
      </c>
    </row>
    <row r="93" spans="1:3">
      <c r="A93" s="39" t="s">
        <v>24</v>
      </c>
      <c r="B93" s="42">
        <v>46264</v>
      </c>
      <c r="C93" s="40">
        <f t="shared" si="2"/>
        <v>100</v>
      </c>
    </row>
    <row r="94" spans="1:3">
      <c r="A94" s="39" t="s">
        <v>24</v>
      </c>
      <c r="B94" s="42">
        <v>46265</v>
      </c>
      <c r="C94" s="40">
        <f t="shared" si="2"/>
        <v>100</v>
      </c>
    </row>
    <row r="95" spans="1:3">
      <c r="A95" s="39" t="s">
        <v>52</v>
      </c>
      <c r="B95" s="42">
        <v>46235</v>
      </c>
      <c r="C95" s="40">
        <f t="shared" si="2"/>
        <v>100</v>
      </c>
    </row>
    <row r="96" spans="1:3">
      <c r="A96" s="39" t="s">
        <v>52</v>
      </c>
      <c r="B96" s="42">
        <v>46236</v>
      </c>
      <c r="C96" s="40">
        <f t="shared" si="2"/>
        <v>100</v>
      </c>
    </row>
    <row r="97" spans="1:4">
      <c r="A97" s="41" t="s">
        <v>52</v>
      </c>
      <c r="B97" s="42">
        <v>46237</v>
      </c>
      <c r="C97" s="40">
        <f t="shared" si="2"/>
        <v>99.305555555555557</v>
      </c>
      <c r="D97" s="36">
        <v>10</v>
      </c>
    </row>
    <row r="98" spans="1:4">
      <c r="A98" s="41" t="s">
        <v>52</v>
      </c>
      <c r="B98" s="42">
        <v>46238</v>
      </c>
      <c r="C98" s="40">
        <f t="shared" ref="C98:C161" si="3">IF(D98="",100,MAX(0,(1440-D98)/1440*100))</f>
        <v>100</v>
      </c>
    </row>
    <row r="99" spans="1:4">
      <c r="A99" s="41" t="s">
        <v>52</v>
      </c>
      <c r="B99" s="42">
        <v>46239</v>
      </c>
      <c r="C99" s="40">
        <f t="shared" si="3"/>
        <v>100</v>
      </c>
    </row>
    <row r="100" spans="1:4">
      <c r="A100" s="39" t="s">
        <v>52</v>
      </c>
      <c r="B100" s="42">
        <v>46240</v>
      </c>
      <c r="C100" s="40">
        <f t="shared" si="3"/>
        <v>100</v>
      </c>
    </row>
    <row r="101" spans="1:4">
      <c r="A101" s="39" t="s">
        <v>52</v>
      </c>
      <c r="B101" s="42">
        <v>46241</v>
      </c>
      <c r="C101" s="40">
        <f t="shared" si="3"/>
        <v>100</v>
      </c>
    </row>
    <row r="102" spans="1:4">
      <c r="A102" s="39" t="s">
        <v>52</v>
      </c>
      <c r="B102" s="42">
        <v>46242</v>
      </c>
      <c r="C102" s="40">
        <f t="shared" si="3"/>
        <v>100</v>
      </c>
    </row>
    <row r="103" spans="1:4">
      <c r="A103" s="39" t="s">
        <v>52</v>
      </c>
      <c r="B103" s="42">
        <v>46243</v>
      </c>
      <c r="C103" s="40">
        <f t="shared" si="3"/>
        <v>100</v>
      </c>
    </row>
    <row r="104" spans="1:4">
      <c r="A104" s="41" t="s">
        <v>52</v>
      </c>
      <c r="B104" s="42">
        <v>46244</v>
      </c>
      <c r="C104" s="40">
        <f t="shared" si="3"/>
        <v>100</v>
      </c>
    </row>
    <row r="105" spans="1:4">
      <c r="A105" s="41" t="s">
        <v>52</v>
      </c>
      <c r="B105" s="42">
        <v>46245</v>
      </c>
      <c r="C105" s="40">
        <f t="shared" si="3"/>
        <v>100</v>
      </c>
    </row>
    <row r="106" spans="1:4">
      <c r="A106" s="41" t="s">
        <v>52</v>
      </c>
      <c r="B106" s="42">
        <v>46246</v>
      </c>
      <c r="C106" s="40">
        <f t="shared" si="3"/>
        <v>100</v>
      </c>
    </row>
    <row r="107" spans="1:4">
      <c r="A107" s="39" t="s">
        <v>52</v>
      </c>
      <c r="B107" s="42">
        <v>46247</v>
      </c>
      <c r="C107" s="40">
        <f t="shared" si="3"/>
        <v>100</v>
      </c>
    </row>
    <row r="108" spans="1:4">
      <c r="A108" s="39" t="s">
        <v>52</v>
      </c>
      <c r="B108" s="42">
        <v>46248</v>
      </c>
      <c r="C108" s="40">
        <f t="shared" si="3"/>
        <v>100</v>
      </c>
    </row>
    <row r="109" spans="1:4">
      <c r="A109" s="39" t="s">
        <v>52</v>
      </c>
      <c r="B109" s="42">
        <v>46249</v>
      </c>
      <c r="C109" s="40">
        <f t="shared" si="3"/>
        <v>100</v>
      </c>
    </row>
    <row r="110" spans="1:4">
      <c r="A110" s="39" t="s">
        <v>52</v>
      </c>
      <c r="B110" s="42">
        <v>46250</v>
      </c>
      <c r="C110" s="40">
        <f t="shared" si="3"/>
        <v>100</v>
      </c>
    </row>
    <row r="111" spans="1:4">
      <c r="A111" s="41" t="s">
        <v>52</v>
      </c>
      <c r="B111" s="42">
        <v>46251</v>
      </c>
      <c r="C111" s="40">
        <f t="shared" si="3"/>
        <v>100</v>
      </c>
    </row>
    <row r="112" spans="1:4">
      <c r="A112" s="41" t="s">
        <v>52</v>
      </c>
      <c r="B112" s="42">
        <v>46252</v>
      </c>
      <c r="C112" s="40">
        <f t="shared" si="3"/>
        <v>100</v>
      </c>
    </row>
    <row r="113" spans="1:4">
      <c r="A113" s="41" t="s">
        <v>52</v>
      </c>
      <c r="B113" s="42">
        <v>46253</v>
      </c>
      <c r="C113" s="40">
        <f t="shared" si="3"/>
        <v>100</v>
      </c>
    </row>
    <row r="114" spans="1:4">
      <c r="A114" s="39" t="s">
        <v>52</v>
      </c>
      <c r="B114" s="42">
        <v>46254</v>
      </c>
      <c r="C114" s="40">
        <f t="shared" si="3"/>
        <v>100</v>
      </c>
    </row>
    <row r="115" spans="1:4">
      <c r="A115" s="39" t="s">
        <v>52</v>
      </c>
      <c r="B115" s="42">
        <v>46255</v>
      </c>
      <c r="C115" s="40">
        <f t="shared" si="3"/>
        <v>100</v>
      </c>
    </row>
    <row r="116" spans="1:4">
      <c r="A116" s="39" t="s">
        <v>52</v>
      </c>
      <c r="B116" s="42">
        <v>46256</v>
      </c>
      <c r="C116" s="40">
        <f t="shared" si="3"/>
        <v>100</v>
      </c>
    </row>
    <row r="117" spans="1:4">
      <c r="A117" s="39" t="s">
        <v>52</v>
      </c>
      <c r="B117" s="42">
        <v>46257</v>
      </c>
      <c r="C117" s="40">
        <f t="shared" si="3"/>
        <v>100</v>
      </c>
    </row>
    <row r="118" spans="1:4">
      <c r="A118" s="41" t="s">
        <v>52</v>
      </c>
      <c r="B118" s="42">
        <v>46258</v>
      </c>
      <c r="C118" s="40">
        <f t="shared" si="3"/>
        <v>100</v>
      </c>
    </row>
    <row r="119" spans="1:4">
      <c r="A119" s="41" t="s">
        <v>52</v>
      </c>
      <c r="B119" s="42">
        <v>46259</v>
      </c>
      <c r="C119" s="40">
        <f t="shared" si="3"/>
        <v>100</v>
      </c>
    </row>
    <row r="120" spans="1:4">
      <c r="A120" s="41" t="s">
        <v>52</v>
      </c>
      <c r="B120" s="42">
        <v>46260</v>
      </c>
      <c r="C120" s="40">
        <f t="shared" si="3"/>
        <v>100</v>
      </c>
    </row>
    <row r="121" spans="1:4">
      <c r="A121" s="39" t="s">
        <v>52</v>
      </c>
      <c r="B121" s="42">
        <v>46261</v>
      </c>
      <c r="C121" s="40">
        <f t="shared" si="3"/>
        <v>100</v>
      </c>
    </row>
    <row r="122" spans="1:4">
      <c r="A122" s="39" t="s">
        <v>52</v>
      </c>
      <c r="B122" s="42">
        <v>46262</v>
      </c>
      <c r="C122" s="40">
        <f t="shared" si="3"/>
        <v>100</v>
      </c>
    </row>
    <row r="123" spans="1:4">
      <c r="A123" s="39" t="s">
        <v>52</v>
      </c>
      <c r="B123" s="42">
        <v>46263</v>
      </c>
      <c r="C123" s="40">
        <f t="shared" si="3"/>
        <v>100</v>
      </c>
    </row>
    <row r="124" spans="1:4">
      <c r="A124" s="39" t="s">
        <v>52</v>
      </c>
      <c r="B124" s="42">
        <v>46264</v>
      </c>
      <c r="C124" s="40">
        <f t="shared" si="3"/>
        <v>100</v>
      </c>
    </row>
    <row r="125" spans="1:4">
      <c r="A125" s="41" t="s">
        <v>52</v>
      </c>
      <c r="B125" s="42">
        <v>46265</v>
      </c>
      <c r="C125" s="40">
        <f t="shared" si="3"/>
        <v>100</v>
      </c>
    </row>
    <row r="126" spans="1:4">
      <c r="A126" s="39" t="s">
        <v>42</v>
      </c>
      <c r="B126" s="42">
        <v>46266</v>
      </c>
      <c r="C126" s="40">
        <f t="shared" si="3"/>
        <v>100</v>
      </c>
    </row>
    <row r="127" spans="1:4">
      <c r="A127" s="39" t="s">
        <v>42</v>
      </c>
      <c r="B127" s="42">
        <v>46267</v>
      </c>
      <c r="C127" s="40">
        <f t="shared" si="3"/>
        <v>99.513888888888886</v>
      </c>
      <c r="D127" s="36">
        <v>7</v>
      </c>
    </row>
    <row r="128" spans="1:4">
      <c r="A128" s="39" t="s">
        <v>42</v>
      </c>
      <c r="B128" s="42">
        <v>46268</v>
      </c>
      <c r="C128" s="40">
        <f t="shared" si="3"/>
        <v>100</v>
      </c>
    </row>
    <row r="129" spans="1:3">
      <c r="A129" s="39" t="s">
        <v>42</v>
      </c>
      <c r="B129" s="42">
        <v>46269</v>
      </c>
      <c r="C129" s="40">
        <f t="shared" si="3"/>
        <v>100</v>
      </c>
    </row>
    <row r="130" spans="1:3">
      <c r="A130" s="41" t="s">
        <v>42</v>
      </c>
      <c r="B130" s="42">
        <v>46270</v>
      </c>
      <c r="C130" s="40">
        <f t="shared" si="3"/>
        <v>100</v>
      </c>
    </row>
    <row r="131" spans="1:3">
      <c r="A131" s="41" t="s">
        <v>42</v>
      </c>
      <c r="B131" s="42">
        <v>46271</v>
      </c>
      <c r="C131" s="40">
        <f t="shared" si="3"/>
        <v>100</v>
      </c>
    </row>
    <row r="132" spans="1:3">
      <c r="A132" s="41" t="s">
        <v>42</v>
      </c>
      <c r="B132" s="42">
        <v>46272</v>
      </c>
      <c r="C132" s="40">
        <f t="shared" si="3"/>
        <v>100</v>
      </c>
    </row>
    <row r="133" spans="1:3">
      <c r="A133" s="39" t="s">
        <v>42</v>
      </c>
      <c r="B133" s="42">
        <v>46273</v>
      </c>
      <c r="C133" s="40">
        <f t="shared" si="3"/>
        <v>100</v>
      </c>
    </row>
    <row r="134" spans="1:3">
      <c r="A134" s="39" t="s">
        <v>42</v>
      </c>
      <c r="B134" s="42">
        <v>46274</v>
      </c>
      <c r="C134" s="40">
        <f t="shared" si="3"/>
        <v>100</v>
      </c>
    </row>
    <row r="135" spans="1:3">
      <c r="A135" s="39" t="s">
        <v>42</v>
      </c>
      <c r="B135" s="42">
        <v>46275</v>
      </c>
      <c r="C135" s="40">
        <f t="shared" si="3"/>
        <v>100</v>
      </c>
    </row>
    <row r="136" spans="1:3">
      <c r="A136" s="39" t="s">
        <v>42</v>
      </c>
      <c r="B136" s="42">
        <v>46276</v>
      </c>
      <c r="C136" s="40">
        <f t="shared" si="3"/>
        <v>100</v>
      </c>
    </row>
    <row r="137" spans="1:3">
      <c r="A137" s="41" t="s">
        <v>42</v>
      </c>
      <c r="B137" s="42">
        <v>46277</v>
      </c>
      <c r="C137" s="40">
        <f t="shared" si="3"/>
        <v>100</v>
      </c>
    </row>
    <row r="138" spans="1:3">
      <c r="A138" s="41" t="s">
        <v>42</v>
      </c>
      <c r="B138" s="42">
        <v>46278</v>
      </c>
      <c r="C138" s="40">
        <f t="shared" si="3"/>
        <v>100</v>
      </c>
    </row>
    <row r="139" spans="1:3">
      <c r="A139" s="41" t="s">
        <v>42</v>
      </c>
      <c r="B139" s="42">
        <v>46279</v>
      </c>
      <c r="C139" s="40">
        <f t="shared" si="3"/>
        <v>100</v>
      </c>
    </row>
    <row r="140" spans="1:3">
      <c r="A140" s="39" t="s">
        <v>42</v>
      </c>
      <c r="B140" s="42">
        <v>46280</v>
      </c>
      <c r="C140" s="40">
        <f t="shared" si="3"/>
        <v>100</v>
      </c>
    </row>
    <row r="141" spans="1:3">
      <c r="A141" s="39" t="s">
        <v>42</v>
      </c>
      <c r="B141" s="42">
        <v>46281</v>
      </c>
      <c r="C141" s="40">
        <f t="shared" si="3"/>
        <v>100</v>
      </c>
    </row>
    <row r="142" spans="1:3">
      <c r="A142" s="39" t="s">
        <v>42</v>
      </c>
      <c r="B142" s="42">
        <v>46282</v>
      </c>
      <c r="C142" s="40">
        <f t="shared" si="3"/>
        <v>100</v>
      </c>
    </row>
    <row r="143" spans="1:3">
      <c r="A143" s="39" t="s">
        <v>42</v>
      </c>
      <c r="B143" s="42">
        <v>46283</v>
      </c>
      <c r="C143" s="40">
        <f t="shared" si="3"/>
        <v>100</v>
      </c>
    </row>
    <row r="144" spans="1:3">
      <c r="A144" s="41" t="s">
        <v>42</v>
      </c>
      <c r="B144" s="42">
        <v>46284</v>
      </c>
      <c r="C144" s="40">
        <f t="shared" si="3"/>
        <v>100</v>
      </c>
    </row>
    <row r="145" spans="1:3">
      <c r="A145" s="41" t="s">
        <v>42</v>
      </c>
      <c r="B145" s="42">
        <v>46285</v>
      </c>
      <c r="C145" s="40">
        <f t="shared" si="3"/>
        <v>100</v>
      </c>
    </row>
    <row r="146" spans="1:3">
      <c r="A146" s="41" t="s">
        <v>42</v>
      </c>
      <c r="B146" s="42">
        <v>46286</v>
      </c>
      <c r="C146" s="40">
        <f t="shared" si="3"/>
        <v>100</v>
      </c>
    </row>
    <row r="147" spans="1:3">
      <c r="A147" s="39" t="s">
        <v>42</v>
      </c>
      <c r="B147" s="42">
        <v>46287</v>
      </c>
      <c r="C147" s="40">
        <f t="shared" si="3"/>
        <v>100</v>
      </c>
    </row>
    <row r="148" spans="1:3">
      <c r="A148" s="39" t="s">
        <v>42</v>
      </c>
      <c r="B148" s="42">
        <v>46288</v>
      </c>
      <c r="C148" s="40">
        <f t="shared" si="3"/>
        <v>100</v>
      </c>
    </row>
    <row r="149" spans="1:3">
      <c r="A149" s="39" t="s">
        <v>42</v>
      </c>
      <c r="B149" s="42">
        <v>46289</v>
      </c>
      <c r="C149" s="40">
        <f t="shared" si="3"/>
        <v>100</v>
      </c>
    </row>
    <row r="150" spans="1:3">
      <c r="A150" s="39" t="s">
        <v>42</v>
      </c>
      <c r="B150" s="42">
        <v>46290</v>
      </c>
      <c r="C150" s="40">
        <f t="shared" si="3"/>
        <v>100</v>
      </c>
    </row>
    <row r="151" spans="1:3">
      <c r="A151" s="41" t="s">
        <v>42</v>
      </c>
      <c r="B151" s="42">
        <v>46291</v>
      </c>
      <c r="C151" s="40">
        <f t="shared" si="3"/>
        <v>100</v>
      </c>
    </row>
    <row r="152" spans="1:3">
      <c r="A152" s="41" t="s">
        <v>42</v>
      </c>
      <c r="B152" s="42">
        <v>46292</v>
      </c>
      <c r="C152" s="40">
        <f t="shared" si="3"/>
        <v>100</v>
      </c>
    </row>
    <row r="153" spans="1:3">
      <c r="A153" s="41" t="s">
        <v>42</v>
      </c>
      <c r="B153" s="42">
        <v>46293</v>
      </c>
      <c r="C153" s="40">
        <f t="shared" si="3"/>
        <v>100</v>
      </c>
    </row>
    <row r="154" spans="1:3">
      <c r="A154" s="39" t="s">
        <v>42</v>
      </c>
      <c r="B154" s="42">
        <v>46294</v>
      </c>
      <c r="C154" s="40">
        <f t="shared" si="3"/>
        <v>100</v>
      </c>
    </row>
    <row r="155" spans="1:3">
      <c r="A155" s="39" t="s">
        <v>42</v>
      </c>
      <c r="B155" s="42">
        <v>46295</v>
      </c>
      <c r="C155" s="40">
        <f t="shared" si="3"/>
        <v>100</v>
      </c>
    </row>
    <row r="156" spans="1:3">
      <c r="A156" s="41" t="s">
        <v>23</v>
      </c>
      <c r="B156" s="42">
        <v>46266</v>
      </c>
      <c r="C156" s="40">
        <f t="shared" si="3"/>
        <v>100</v>
      </c>
    </row>
    <row r="157" spans="1:3">
      <c r="A157" s="41" t="s">
        <v>23</v>
      </c>
      <c r="B157" s="42">
        <v>46267</v>
      </c>
      <c r="C157" s="40">
        <f t="shared" si="3"/>
        <v>100</v>
      </c>
    </row>
    <row r="158" spans="1:3">
      <c r="A158" s="41" t="s">
        <v>23</v>
      </c>
      <c r="B158" s="42">
        <v>46268</v>
      </c>
      <c r="C158" s="40">
        <f t="shared" si="3"/>
        <v>100</v>
      </c>
    </row>
    <row r="159" spans="1:3">
      <c r="A159" s="39" t="s">
        <v>23</v>
      </c>
      <c r="B159" s="42">
        <v>46269</v>
      </c>
      <c r="C159" s="40">
        <f t="shared" si="3"/>
        <v>100</v>
      </c>
    </row>
    <row r="160" spans="1:3">
      <c r="A160" s="39" t="s">
        <v>23</v>
      </c>
      <c r="B160" s="42">
        <v>46270</v>
      </c>
      <c r="C160" s="40">
        <f t="shared" si="3"/>
        <v>100</v>
      </c>
    </row>
    <row r="161" spans="1:3">
      <c r="A161" s="39" t="s">
        <v>23</v>
      </c>
      <c r="B161" s="42">
        <v>46271</v>
      </c>
      <c r="C161" s="40">
        <f t="shared" si="3"/>
        <v>100</v>
      </c>
    </row>
    <row r="162" spans="1:3">
      <c r="A162" s="39" t="s">
        <v>23</v>
      </c>
      <c r="B162" s="42">
        <v>46272</v>
      </c>
      <c r="C162" s="40">
        <f t="shared" ref="C162:C225" si="4">IF(D162="",100,MAX(0,(1440-D162)/1440*100))</f>
        <v>100</v>
      </c>
    </row>
    <row r="163" spans="1:3">
      <c r="A163" s="41" t="s">
        <v>23</v>
      </c>
      <c r="B163" s="42">
        <v>46273</v>
      </c>
      <c r="C163" s="40">
        <f t="shared" si="4"/>
        <v>100</v>
      </c>
    </row>
    <row r="164" spans="1:3">
      <c r="A164" s="41" t="s">
        <v>23</v>
      </c>
      <c r="B164" s="42">
        <v>46274</v>
      </c>
      <c r="C164" s="40">
        <f t="shared" si="4"/>
        <v>100</v>
      </c>
    </row>
    <row r="165" spans="1:3">
      <c r="A165" s="41" t="s">
        <v>23</v>
      </c>
      <c r="B165" s="42">
        <v>46275</v>
      </c>
      <c r="C165" s="40">
        <f t="shared" si="4"/>
        <v>100</v>
      </c>
    </row>
    <row r="166" spans="1:3">
      <c r="A166" s="39" t="s">
        <v>23</v>
      </c>
      <c r="B166" s="42">
        <v>46276</v>
      </c>
      <c r="C166" s="40">
        <f t="shared" si="4"/>
        <v>100</v>
      </c>
    </row>
    <row r="167" spans="1:3">
      <c r="A167" s="39" t="s">
        <v>23</v>
      </c>
      <c r="B167" s="42">
        <v>46277</v>
      </c>
      <c r="C167" s="40">
        <f t="shared" si="4"/>
        <v>100</v>
      </c>
    </row>
    <row r="168" spans="1:3">
      <c r="A168" s="39" t="s">
        <v>23</v>
      </c>
      <c r="B168" s="42">
        <v>46278</v>
      </c>
      <c r="C168" s="40">
        <f t="shared" si="4"/>
        <v>100</v>
      </c>
    </row>
    <row r="169" spans="1:3">
      <c r="A169" s="39" t="s">
        <v>23</v>
      </c>
      <c r="B169" s="42">
        <v>46279</v>
      </c>
      <c r="C169" s="40">
        <f t="shared" si="4"/>
        <v>100</v>
      </c>
    </row>
    <row r="170" spans="1:3">
      <c r="A170" s="41" t="s">
        <v>23</v>
      </c>
      <c r="B170" s="42">
        <v>46280</v>
      </c>
      <c r="C170" s="40">
        <f t="shared" si="4"/>
        <v>100</v>
      </c>
    </row>
    <row r="171" spans="1:3">
      <c r="A171" s="41" t="s">
        <v>23</v>
      </c>
      <c r="B171" s="42">
        <v>46281</v>
      </c>
      <c r="C171" s="40">
        <f t="shared" si="4"/>
        <v>100</v>
      </c>
    </row>
    <row r="172" spans="1:3">
      <c r="A172" s="41" t="s">
        <v>23</v>
      </c>
      <c r="B172" s="42">
        <v>46282</v>
      </c>
      <c r="C172" s="40">
        <f t="shared" si="4"/>
        <v>100</v>
      </c>
    </row>
    <row r="173" spans="1:3">
      <c r="A173" s="39" t="s">
        <v>23</v>
      </c>
      <c r="B173" s="42">
        <v>46283</v>
      </c>
      <c r="C173" s="40">
        <f t="shared" si="4"/>
        <v>100</v>
      </c>
    </row>
    <row r="174" spans="1:3">
      <c r="A174" s="39" t="s">
        <v>23</v>
      </c>
      <c r="B174" s="42">
        <v>46284</v>
      </c>
      <c r="C174" s="40">
        <f t="shared" si="4"/>
        <v>100</v>
      </c>
    </row>
    <row r="175" spans="1:3">
      <c r="A175" s="39" t="s">
        <v>23</v>
      </c>
      <c r="B175" s="42">
        <v>46285</v>
      </c>
      <c r="C175" s="40">
        <f t="shared" si="4"/>
        <v>100</v>
      </c>
    </row>
    <row r="176" spans="1:3">
      <c r="A176" s="39" t="s">
        <v>23</v>
      </c>
      <c r="B176" s="42">
        <v>46286</v>
      </c>
      <c r="C176" s="40">
        <f t="shared" si="4"/>
        <v>100</v>
      </c>
    </row>
    <row r="177" spans="1:4">
      <c r="A177" s="41" t="s">
        <v>23</v>
      </c>
      <c r="B177" s="42">
        <v>46287</v>
      </c>
      <c r="C177" s="40">
        <f t="shared" si="4"/>
        <v>100</v>
      </c>
    </row>
    <row r="178" spans="1:4">
      <c r="A178" s="41" t="s">
        <v>23</v>
      </c>
      <c r="B178" s="42">
        <v>46288</v>
      </c>
      <c r="C178" s="40">
        <f t="shared" si="4"/>
        <v>100</v>
      </c>
    </row>
    <row r="179" spans="1:4">
      <c r="A179" s="41" t="s">
        <v>23</v>
      </c>
      <c r="B179" s="42">
        <v>46289</v>
      </c>
      <c r="C179" s="40">
        <f t="shared" si="4"/>
        <v>100</v>
      </c>
    </row>
    <row r="180" spans="1:4">
      <c r="A180" s="39" t="s">
        <v>23</v>
      </c>
      <c r="B180" s="42">
        <v>46290</v>
      </c>
      <c r="C180" s="40">
        <f t="shared" si="4"/>
        <v>100</v>
      </c>
    </row>
    <row r="181" spans="1:4">
      <c r="A181" s="39" t="s">
        <v>23</v>
      </c>
      <c r="B181" s="42">
        <v>46291</v>
      </c>
      <c r="C181" s="40">
        <f t="shared" si="4"/>
        <v>100</v>
      </c>
    </row>
    <row r="182" spans="1:4">
      <c r="A182" s="39" t="s">
        <v>23</v>
      </c>
      <c r="B182" s="42">
        <v>46292</v>
      </c>
      <c r="C182" s="40">
        <f t="shared" si="4"/>
        <v>100</v>
      </c>
    </row>
    <row r="183" spans="1:4">
      <c r="A183" s="39" t="s">
        <v>23</v>
      </c>
      <c r="B183" s="42">
        <v>46293</v>
      </c>
      <c r="C183" s="40">
        <f t="shared" si="4"/>
        <v>100</v>
      </c>
    </row>
    <row r="184" spans="1:4">
      <c r="A184" s="41" t="s">
        <v>23</v>
      </c>
      <c r="B184" s="42">
        <v>46294</v>
      </c>
      <c r="C184" s="40">
        <f t="shared" si="4"/>
        <v>100</v>
      </c>
    </row>
    <row r="185" spans="1:4">
      <c r="A185" s="41" t="s">
        <v>23</v>
      </c>
      <c r="B185" s="42">
        <v>46295</v>
      </c>
      <c r="C185" s="40">
        <f t="shared" si="4"/>
        <v>100</v>
      </c>
    </row>
    <row r="186" spans="1:4">
      <c r="A186" s="41" t="s">
        <v>24</v>
      </c>
      <c r="B186" s="42">
        <v>46266</v>
      </c>
      <c r="C186" s="40">
        <f t="shared" si="4"/>
        <v>99.444444444444443</v>
      </c>
      <c r="D186" s="36">
        <v>8</v>
      </c>
    </row>
    <row r="187" spans="1:4">
      <c r="A187" s="39" t="s">
        <v>24</v>
      </c>
      <c r="B187" s="42">
        <v>46267</v>
      </c>
      <c r="C187" s="40">
        <f t="shared" si="4"/>
        <v>100</v>
      </c>
    </row>
    <row r="188" spans="1:4">
      <c r="A188" s="39" t="s">
        <v>24</v>
      </c>
      <c r="B188" s="42">
        <v>46268</v>
      </c>
      <c r="C188" s="40">
        <f t="shared" si="4"/>
        <v>100</v>
      </c>
    </row>
    <row r="189" spans="1:4">
      <c r="A189" s="39" t="s">
        <v>24</v>
      </c>
      <c r="B189" s="42">
        <v>46269</v>
      </c>
      <c r="C189" s="40">
        <f t="shared" si="4"/>
        <v>100</v>
      </c>
    </row>
    <row r="190" spans="1:4">
      <c r="A190" s="39" t="s">
        <v>24</v>
      </c>
      <c r="B190" s="42">
        <v>46270</v>
      </c>
      <c r="C190" s="40">
        <f t="shared" si="4"/>
        <v>100</v>
      </c>
    </row>
    <row r="191" spans="1:4">
      <c r="A191" s="41" t="s">
        <v>24</v>
      </c>
      <c r="B191" s="42">
        <v>46271</v>
      </c>
      <c r="C191" s="40">
        <f t="shared" si="4"/>
        <v>100</v>
      </c>
    </row>
    <row r="192" spans="1:4">
      <c r="A192" s="41" t="s">
        <v>24</v>
      </c>
      <c r="B192" s="42">
        <v>46272</v>
      </c>
      <c r="C192" s="40">
        <f t="shared" si="4"/>
        <v>100</v>
      </c>
    </row>
    <row r="193" spans="1:3">
      <c r="A193" s="41" t="s">
        <v>24</v>
      </c>
      <c r="B193" s="42">
        <v>46273</v>
      </c>
      <c r="C193" s="40">
        <f t="shared" si="4"/>
        <v>100</v>
      </c>
    </row>
    <row r="194" spans="1:3">
      <c r="A194" s="39" t="s">
        <v>24</v>
      </c>
      <c r="B194" s="42">
        <v>46274</v>
      </c>
      <c r="C194" s="40">
        <f t="shared" si="4"/>
        <v>100</v>
      </c>
    </row>
    <row r="195" spans="1:3">
      <c r="A195" s="39" t="s">
        <v>24</v>
      </c>
      <c r="B195" s="42">
        <v>46275</v>
      </c>
      <c r="C195" s="40">
        <f t="shared" si="4"/>
        <v>100</v>
      </c>
    </row>
    <row r="196" spans="1:3">
      <c r="A196" s="39" t="s">
        <v>24</v>
      </c>
      <c r="B196" s="42">
        <v>46276</v>
      </c>
      <c r="C196" s="40">
        <f t="shared" si="4"/>
        <v>100</v>
      </c>
    </row>
    <row r="197" spans="1:3">
      <c r="A197" s="39" t="s">
        <v>24</v>
      </c>
      <c r="B197" s="42">
        <v>46277</v>
      </c>
      <c r="C197" s="40">
        <f t="shared" si="4"/>
        <v>100</v>
      </c>
    </row>
    <row r="198" spans="1:3">
      <c r="A198" s="41" t="s">
        <v>24</v>
      </c>
      <c r="B198" s="42">
        <v>46278</v>
      </c>
      <c r="C198" s="40">
        <f t="shared" si="4"/>
        <v>100</v>
      </c>
    </row>
    <row r="199" spans="1:3">
      <c r="A199" s="41" t="s">
        <v>24</v>
      </c>
      <c r="B199" s="42">
        <v>46279</v>
      </c>
      <c r="C199" s="40">
        <f t="shared" si="4"/>
        <v>100</v>
      </c>
    </row>
    <row r="200" spans="1:3">
      <c r="A200" s="41" t="s">
        <v>24</v>
      </c>
      <c r="B200" s="42">
        <v>46280</v>
      </c>
      <c r="C200" s="40">
        <f t="shared" si="4"/>
        <v>100</v>
      </c>
    </row>
    <row r="201" spans="1:3">
      <c r="A201" s="39" t="s">
        <v>24</v>
      </c>
      <c r="B201" s="42">
        <v>46281</v>
      </c>
      <c r="C201" s="40">
        <f t="shared" si="4"/>
        <v>100</v>
      </c>
    </row>
    <row r="202" spans="1:3">
      <c r="A202" s="39" t="s">
        <v>24</v>
      </c>
      <c r="B202" s="42">
        <v>46282</v>
      </c>
      <c r="C202" s="40">
        <f t="shared" si="4"/>
        <v>100</v>
      </c>
    </row>
    <row r="203" spans="1:3">
      <c r="A203" s="39" t="s">
        <v>24</v>
      </c>
      <c r="B203" s="42">
        <v>46283</v>
      </c>
      <c r="C203" s="40">
        <f t="shared" si="4"/>
        <v>100</v>
      </c>
    </row>
    <row r="204" spans="1:3">
      <c r="A204" s="39" t="s">
        <v>24</v>
      </c>
      <c r="B204" s="42">
        <v>46284</v>
      </c>
      <c r="C204" s="40">
        <f t="shared" si="4"/>
        <v>100</v>
      </c>
    </row>
    <row r="205" spans="1:3">
      <c r="A205" s="41" t="s">
        <v>24</v>
      </c>
      <c r="B205" s="42">
        <v>46285</v>
      </c>
      <c r="C205" s="40">
        <f t="shared" si="4"/>
        <v>100</v>
      </c>
    </row>
    <row r="206" spans="1:3">
      <c r="A206" s="41" t="s">
        <v>24</v>
      </c>
      <c r="B206" s="42">
        <v>46286</v>
      </c>
      <c r="C206" s="40">
        <f t="shared" si="4"/>
        <v>100</v>
      </c>
    </row>
    <row r="207" spans="1:3">
      <c r="A207" s="41" t="s">
        <v>24</v>
      </c>
      <c r="B207" s="42">
        <v>46287</v>
      </c>
      <c r="C207" s="40">
        <f t="shared" si="4"/>
        <v>100</v>
      </c>
    </row>
    <row r="208" spans="1:3">
      <c r="A208" s="39" t="s">
        <v>24</v>
      </c>
      <c r="B208" s="42">
        <v>46288</v>
      </c>
      <c r="C208" s="40">
        <f t="shared" si="4"/>
        <v>100</v>
      </c>
    </row>
    <row r="209" spans="1:3">
      <c r="A209" s="39" t="s">
        <v>24</v>
      </c>
      <c r="B209" s="42">
        <v>46289</v>
      </c>
      <c r="C209" s="40">
        <f t="shared" si="4"/>
        <v>100</v>
      </c>
    </row>
    <row r="210" spans="1:3">
      <c r="A210" s="39" t="s">
        <v>24</v>
      </c>
      <c r="B210" s="42">
        <v>46290</v>
      </c>
      <c r="C210" s="40">
        <f t="shared" si="4"/>
        <v>100</v>
      </c>
    </row>
    <row r="211" spans="1:3">
      <c r="A211" s="39" t="s">
        <v>24</v>
      </c>
      <c r="B211" s="42">
        <v>46291</v>
      </c>
      <c r="C211" s="40">
        <f t="shared" si="4"/>
        <v>100</v>
      </c>
    </row>
    <row r="212" spans="1:3">
      <c r="A212" s="41" t="s">
        <v>24</v>
      </c>
      <c r="B212" s="42">
        <v>46292</v>
      </c>
      <c r="C212" s="40">
        <f t="shared" si="4"/>
        <v>100</v>
      </c>
    </row>
    <row r="213" spans="1:3">
      <c r="A213" s="41" t="s">
        <v>24</v>
      </c>
      <c r="B213" s="42">
        <v>46293</v>
      </c>
      <c r="C213" s="40">
        <f t="shared" si="4"/>
        <v>100</v>
      </c>
    </row>
    <row r="214" spans="1:3">
      <c r="A214" s="41" t="s">
        <v>24</v>
      </c>
      <c r="B214" s="42">
        <v>46294</v>
      </c>
      <c r="C214" s="40">
        <f t="shared" si="4"/>
        <v>100</v>
      </c>
    </row>
    <row r="215" spans="1:3">
      <c r="A215" s="39" t="s">
        <v>24</v>
      </c>
      <c r="B215" s="42">
        <v>46295</v>
      </c>
      <c r="C215" s="40">
        <f t="shared" si="4"/>
        <v>100</v>
      </c>
    </row>
    <row r="216" spans="1:3">
      <c r="A216" s="39" t="s">
        <v>52</v>
      </c>
      <c r="B216" s="42">
        <v>46266</v>
      </c>
      <c r="C216" s="40">
        <f t="shared" si="4"/>
        <v>100</v>
      </c>
    </row>
    <row r="217" spans="1:3">
      <c r="A217" s="41" t="s">
        <v>52</v>
      </c>
      <c r="B217" s="42">
        <v>46267</v>
      </c>
      <c r="C217" s="40">
        <f t="shared" si="4"/>
        <v>100</v>
      </c>
    </row>
    <row r="218" spans="1:3">
      <c r="A218" s="41" t="s">
        <v>52</v>
      </c>
      <c r="B218" s="42">
        <v>46268</v>
      </c>
      <c r="C218" s="40">
        <f t="shared" si="4"/>
        <v>100</v>
      </c>
    </row>
    <row r="219" spans="1:3">
      <c r="A219" s="41" t="s">
        <v>52</v>
      </c>
      <c r="B219" s="42">
        <v>46269</v>
      </c>
      <c r="C219" s="40">
        <f t="shared" si="4"/>
        <v>100</v>
      </c>
    </row>
    <row r="220" spans="1:3">
      <c r="A220" s="39" t="s">
        <v>52</v>
      </c>
      <c r="B220" s="42">
        <v>46270</v>
      </c>
      <c r="C220" s="40">
        <f t="shared" si="4"/>
        <v>100</v>
      </c>
    </row>
    <row r="221" spans="1:3">
      <c r="A221" s="39" t="s">
        <v>52</v>
      </c>
      <c r="B221" s="42">
        <v>46271</v>
      </c>
      <c r="C221" s="40">
        <f t="shared" si="4"/>
        <v>100</v>
      </c>
    </row>
    <row r="222" spans="1:3">
      <c r="A222" s="39" t="s">
        <v>52</v>
      </c>
      <c r="B222" s="42">
        <v>46272</v>
      </c>
      <c r="C222" s="40">
        <f t="shared" si="4"/>
        <v>100</v>
      </c>
    </row>
    <row r="223" spans="1:3">
      <c r="A223" s="39" t="s">
        <v>52</v>
      </c>
      <c r="B223" s="42">
        <v>46273</v>
      </c>
      <c r="C223" s="40">
        <f t="shared" si="4"/>
        <v>100</v>
      </c>
    </row>
    <row r="224" spans="1:3">
      <c r="A224" s="41" t="s">
        <v>52</v>
      </c>
      <c r="B224" s="42">
        <v>46274</v>
      </c>
      <c r="C224" s="40">
        <f t="shared" si="4"/>
        <v>100</v>
      </c>
    </row>
    <row r="225" spans="1:3">
      <c r="A225" s="41" t="s">
        <v>52</v>
      </c>
      <c r="B225" s="42">
        <v>46275</v>
      </c>
      <c r="C225" s="40">
        <f t="shared" si="4"/>
        <v>100</v>
      </c>
    </row>
    <row r="226" spans="1:3">
      <c r="A226" s="41" t="s">
        <v>52</v>
      </c>
      <c r="B226" s="42">
        <v>46276</v>
      </c>
      <c r="C226" s="40">
        <f t="shared" ref="C226:C289" si="5">IF(D226="",100,MAX(0,(1440-D226)/1440*100))</f>
        <v>100</v>
      </c>
    </row>
    <row r="227" spans="1:3">
      <c r="A227" s="39" t="s">
        <v>52</v>
      </c>
      <c r="B227" s="42">
        <v>46277</v>
      </c>
      <c r="C227" s="40">
        <f t="shared" si="5"/>
        <v>100</v>
      </c>
    </row>
    <row r="228" spans="1:3">
      <c r="A228" s="39" t="s">
        <v>52</v>
      </c>
      <c r="B228" s="42">
        <v>46278</v>
      </c>
      <c r="C228" s="40">
        <f t="shared" si="5"/>
        <v>100</v>
      </c>
    </row>
    <row r="229" spans="1:3">
      <c r="A229" s="39" t="s">
        <v>52</v>
      </c>
      <c r="B229" s="42">
        <v>46279</v>
      </c>
      <c r="C229" s="40">
        <f t="shared" si="5"/>
        <v>100</v>
      </c>
    </row>
    <row r="230" spans="1:3">
      <c r="A230" s="39" t="s">
        <v>52</v>
      </c>
      <c r="B230" s="42">
        <v>46280</v>
      </c>
      <c r="C230" s="40">
        <f t="shared" si="5"/>
        <v>100</v>
      </c>
    </row>
    <row r="231" spans="1:3">
      <c r="A231" s="41" t="s">
        <v>52</v>
      </c>
      <c r="B231" s="42">
        <v>46281</v>
      </c>
      <c r="C231" s="40">
        <f t="shared" si="5"/>
        <v>100</v>
      </c>
    </row>
    <row r="232" spans="1:3">
      <c r="A232" s="41" t="s">
        <v>52</v>
      </c>
      <c r="B232" s="42">
        <v>46282</v>
      </c>
      <c r="C232" s="40">
        <f t="shared" si="5"/>
        <v>100</v>
      </c>
    </row>
    <row r="233" spans="1:3">
      <c r="A233" s="41" t="s">
        <v>52</v>
      </c>
      <c r="B233" s="42">
        <v>46283</v>
      </c>
      <c r="C233" s="40">
        <f t="shared" si="5"/>
        <v>100</v>
      </c>
    </row>
    <row r="234" spans="1:3">
      <c r="A234" s="39" t="s">
        <v>52</v>
      </c>
      <c r="B234" s="42">
        <v>46284</v>
      </c>
      <c r="C234" s="40">
        <f t="shared" si="5"/>
        <v>100</v>
      </c>
    </row>
    <row r="235" spans="1:3">
      <c r="A235" s="39" t="s">
        <v>52</v>
      </c>
      <c r="B235" s="42">
        <v>46285</v>
      </c>
      <c r="C235" s="40">
        <f t="shared" si="5"/>
        <v>100</v>
      </c>
    </row>
    <row r="236" spans="1:3">
      <c r="A236" s="39" t="s">
        <v>52</v>
      </c>
      <c r="B236" s="42">
        <v>46286</v>
      </c>
      <c r="C236" s="40">
        <f t="shared" si="5"/>
        <v>100</v>
      </c>
    </row>
    <row r="237" spans="1:3">
      <c r="A237" s="39" t="s">
        <v>52</v>
      </c>
      <c r="B237" s="42">
        <v>46287</v>
      </c>
      <c r="C237" s="40">
        <f t="shared" si="5"/>
        <v>100</v>
      </c>
    </row>
    <row r="238" spans="1:3">
      <c r="A238" s="41" t="s">
        <v>52</v>
      </c>
      <c r="B238" s="42">
        <v>46288</v>
      </c>
      <c r="C238" s="40">
        <f t="shared" si="5"/>
        <v>100</v>
      </c>
    </row>
    <row r="239" spans="1:3">
      <c r="A239" s="41" t="s">
        <v>52</v>
      </c>
      <c r="B239" s="42">
        <v>46289</v>
      </c>
      <c r="C239" s="40">
        <f t="shared" si="5"/>
        <v>100</v>
      </c>
    </row>
    <row r="240" spans="1:3">
      <c r="A240" s="41" t="s">
        <v>52</v>
      </c>
      <c r="B240" s="42">
        <v>46290</v>
      </c>
      <c r="C240" s="40">
        <f t="shared" si="5"/>
        <v>100</v>
      </c>
    </row>
    <row r="241" spans="1:3">
      <c r="A241" s="39" t="s">
        <v>52</v>
      </c>
      <c r="B241" s="42">
        <v>46291</v>
      </c>
      <c r="C241" s="40">
        <f t="shared" si="5"/>
        <v>100</v>
      </c>
    </row>
    <row r="242" spans="1:3">
      <c r="A242" s="39" t="s">
        <v>52</v>
      </c>
      <c r="B242" s="42">
        <v>46292</v>
      </c>
      <c r="C242" s="40">
        <f t="shared" si="5"/>
        <v>100</v>
      </c>
    </row>
    <row r="243" spans="1:3">
      <c r="A243" s="39" t="s">
        <v>52</v>
      </c>
      <c r="B243" s="42">
        <v>46293</v>
      </c>
      <c r="C243" s="40">
        <f t="shared" si="5"/>
        <v>100</v>
      </c>
    </row>
    <row r="244" spans="1:3">
      <c r="A244" s="39" t="s">
        <v>52</v>
      </c>
      <c r="B244" s="42">
        <v>46294</v>
      </c>
      <c r="C244" s="40">
        <f t="shared" si="5"/>
        <v>100</v>
      </c>
    </row>
    <row r="245" spans="1:3">
      <c r="A245" s="41" t="s">
        <v>52</v>
      </c>
      <c r="B245" s="42">
        <v>46295</v>
      </c>
      <c r="C245" s="40">
        <f t="shared" si="5"/>
        <v>100</v>
      </c>
    </row>
    <row r="246" spans="1:3">
      <c r="A246" s="39" t="s">
        <v>42</v>
      </c>
      <c r="B246" s="82">
        <v>46296</v>
      </c>
      <c r="C246" s="40">
        <f t="shared" si="5"/>
        <v>100</v>
      </c>
    </row>
    <row r="247" spans="1:3">
      <c r="A247" s="39" t="s">
        <v>42</v>
      </c>
      <c r="B247" s="82">
        <v>46297</v>
      </c>
      <c r="C247" s="40">
        <f t="shared" si="5"/>
        <v>100</v>
      </c>
    </row>
    <row r="248" spans="1:3">
      <c r="A248" s="39" t="s">
        <v>42</v>
      </c>
      <c r="B248" s="82">
        <v>46298</v>
      </c>
      <c r="C248" s="40">
        <f t="shared" si="5"/>
        <v>100</v>
      </c>
    </row>
    <row r="249" spans="1:3">
      <c r="A249" s="39" t="s">
        <v>42</v>
      </c>
      <c r="B249" s="82">
        <v>46299</v>
      </c>
      <c r="C249" s="40">
        <f t="shared" si="5"/>
        <v>100</v>
      </c>
    </row>
    <row r="250" spans="1:3">
      <c r="A250" s="39" t="s">
        <v>42</v>
      </c>
      <c r="B250" s="82">
        <v>46300</v>
      </c>
      <c r="C250" s="40">
        <f t="shared" si="5"/>
        <v>100</v>
      </c>
    </row>
    <row r="251" spans="1:3">
      <c r="A251" s="39" t="s">
        <v>42</v>
      </c>
      <c r="B251" s="82">
        <v>46301</v>
      </c>
      <c r="C251" s="40">
        <f t="shared" si="5"/>
        <v>100</v>
      </c>
    </row>
    <row r="252" spans="1:3">
      <c r="A252" s="39" t="s">
        <v>42</v>
      </c>
      <c r="B252" s="82">
        <v>46302</v>
      </c>
      <c r="C252" s="40">
        <f t="shared" si="5"/>
        <v>100</v>
      </c>
    </row>
    <row r="253" spans="1:3">
      <c r="A253" s="39" t="s">
        <v>42</v>
      </c>
      <c r="B253" s="82">
        <v>46303</v>
      </c>
      <c r="C253" s="40">
        <f t="shared" si="5"/>
        <v>100</v>
      </c>
    </row>
    <row r="254" spans="1:3">
      <c r="A254" s="39" t="s">
        <v>42</v>
      </c>
      <c r="B254" s="82">
        <v>46304</v>
      </c>
      <c r="C254" s="40">
        <f t="shared" si="5"/>
        <v>100</v>
      </c>
    </row>
    <row r="255" spans="1:3">
      <c r="A255" s="39" t="s">
        <v>42</v>
      </c>
      <c r="B255" s="82">
        <v>46305</v>
      </c>
      <c r="C255" s="40">
        <f t="shared" si="5"/>
        <v>100</v>
      </c>
    </row>
    <row r="256" spans="1:3">
      <c r="A256" s="39" t="s">
        <v>42</v>
      </c>
      <c r="B256" s="82">
        <v>46306</v>
      </c>
      <c r="C256" s="40">
        <f t="shared" si="5"/>
        <v>100</v>
      </c>
    </row>
    <row r="257" spans="1:3">
      <c r="A257" s="39" t="s">
        <v>42</v>
      </c>
      <c r="B257" s="82">
        <v>46307</v>
      </c>
      <c r="C257" s="40">
        <f t="shared" si="5"/>
        <v>100</v>
      </c>
    </row>
    <row r="258" spans="1:3">
      <c r="A258" s="39" t="s">
        <v>42</v>
      </c>
      <c r="B258" s="82">
        <v>46308</v>
      </c>
      <c r="C258" s="40">
        <f t="shared" si="5"/>
        <v>100</v>
      </c>
    </row>
    <row r="259" spans="1:3">
      <c r="A259" s="39" t="s">
        <v>42</v>
      </c>
      <c r="B259" s="82">
        <v>46309</v>
      </c>
      <c r="C259" s="40">
        <f t="shared" si="5"/>
        <v>100</v>
      </c>
    </row>
    <row r="260" spans="1:3">
      <c r="A260" s="39" t="s">
        <v>42</v>
      </c>
      <c r="B260" s="82">
        <v>46310</v>
      </c>
      <c r="C260" s="40">
        <f t="shared" si="5"/>
        <v>100</v>
      </c>
    </row>
    <row r="261" spans="1:3">
      <c r="A261" s="39" t="s">
        <v>42</v>
      </c>
      <c r="B261" s="82">
        <v>46311</v>
      </c>
      <c r="C261" s="40">
        <f t="shared" si="5"/>
        <v>100</v>
      </c>
    </row>
    <row r="262" spans="1:3">
      <c r="A262" s="39" t="s">
        <v>42</v>
      </c>
      <c r="B262" s="82">
        <v>46312</v>
      </c>
      <c r="C262" s="40">
        <f t="shared" si="5"/>
        <v>100</v>
      </c>
    </row>
    <row r="263" spans="1:3">
      <c r="A263" s="39" t="s">
        <v>42</v>
      </c>
      <c r="B263" s="82">
        <v>46313</v>
      </c>
      <c r="C263" s="40">
        <f t="shared" si="5"/>
        <v>100</v>
      </c>
    </row>
    <row r="264" spans="1:3">
      <c r="A264" s="39" t="s">
        <v>42</v>
      </c>
      <c r="B264" s="82">
        <v>46314</v>
      </c>
      <c r="C264" s="40">
        <f t="shared" si="5"/>
        <v>100</v>
      </c>
    </row>
    <row r="265" spans="1:3">
      <c r="A265" s="39" t="s">
        <v>42</v>
      </c>
      <c r="B265" s="82">
        <v>46315</v>
      </c>
      <c r="C265" s="40">
        <f t="shared" si="5"/>
        <v>100</v>
      </c>
    </row>
    <row r="266" spans="1:3">
      <c r="A266" s="39" t="s">
        <v>42</v>
      </c>
      <c r="B266" s="82">
        <v>46316</v>
      </c>
      <c r="C266" s="40">
        <f t="shared" si="5"/>
        <v>100</v>
      </c>
    </row>
    <row r="267" spans="1:3">
      <c r="A267" s="39" t="s">
        <v>42</v>
      </c>
      <c r="B267" s="82">
        <v>46317</v>
      </c>
      <c r="C267" s="40">
        <f t="shared" si="5"/>
        <v>100</v>
      </c>
    </row>
    <row r="268" spans="1:3">
      <c r="A268" s="39" t="s">
        <v>42</v>
      </c>
      <c r="B268" s="82">
        <v>46318</v>
      </c>
      <c r="C268" s="40">
        <f t="shared" si="5"/>
        <v>100</v>
      </c>
    </row>
    <row r="269" spans="1:3">
      <c r="A269" s="39" t="s">
        <v>42</v>
      </c>
      <c r="B269" s="82">
        <v>46319</v>
      </c>
      <c r="C269" s="40">
        <f t="shared" si="5"/>
        <v>100</v>
      </c>
    </row>
    <row r="270" spans="1:3">
      <c r="A270" s="39" t="s">
        <v>42</v>
      </c>
      <c r="B270" s="82">
        <v>46320</v>
      </c>
      <c r="C270" s="40">
        <f t="shared" si="5"/>
        <v>100</v>
      </c>
    </row>
    <row r="271" spans="1:3">
      <c r="A271" s="39" t="s">
        <v>42</v>
      </c>
      <c r="B271" s="82">
        <v>46321</v>
      </c>
      <c r="C271" s="40">
        <f t="shared" si="5"/>
        <v>100</v>
      </c>
    </row>
    <row r="272" spans="1:3">
      <c r="A272" s="39" t="s">
        <v>42</v>
      </c>
      <c r="B272" s="82">
        <v>46322</v>
      </c>
      <c r="C272" s="40">
        <f t="shared" si="5"/>
        <v>100</v>
      </c>
    </row>
    <row r="273" spans="1:3">
      <c r="A273" s="39" t="s">
        <v>42</v>
      </c>
      <c r="B273" s="82">
        <v>46323</v>
      </c>
      <c r="C273" s="40">
        <f t="shared" si="5"/>
        <v>100</v>
      </c>
    </row>
    <row r="274" spans="1:3">
      <c r="A274" s="39" t="s">
        <v>42</v>
      </c>
      <c r="B274" s="82">
        <v>46324</v>
      </c>
      <c r="C274" s="40">
        <f t="shared" si="5"/>
        <v>100</v>
      </c>
    </row>
    <row r="275" spans="1:3">
      <c r="A275" s="39" t="s">
        <v>42</v>
      </c>
      <c r="B275" s="82">
        <v>46325</v>
      </c>
      <c r="C275" s="40">
        <f t="shared" si="5"/>
        <v>100</v>
      </c>
    </row>
    <row r="276" spans="1:3">
      <c r="A276" s="39" t="s">
        <v>42</v>
      </c>
      <c r="B276" s="82">
        <v>46326</v>
      </c>
      <c r="C276" s="40">
        <f t="shared" si="5"/>
        <v>100</v>
      </c>
    </row>
    <row r="277" spans="1:3">
      <c r="A277" s="39" t="s">
        <v>42</v>
      </c>
      <c r="B277" s="82">
        <v>46327</v>
      </c>
      <c r="C277" s="40">
        <f t="shared" si="5"/>
        <v>100</v>
      </c>
    </row>
    <row r="278" spans="1:3">
      <c r="A278" s="39" t="s">
        <v>42</v>
      </c>
      <c r="B278" s="82">
        <v>46328</v>
      </c>
      <c r="C278" s="40">
        <f t="shared" si="5"/>
        <v>100</v>
      </c>
    </row>
    <row r="279" spans="1:3">
      <c r="A279" s="39" t="s">
        <v>42</v>
      </c>
      <c r="B279" s="82">
        <v>46329</v>
      </c>
      <c r="C279" s="40">
        <f t="shared" si="5"/>
        <v>100</v>
      </c>
    </row>
    <row r="280" spans="1:3">
      <c r="A280" s="39" t="s">
        <v>42</v>
      </c>
      <c r="B280" s="82">
        <v>46330</v>
      </c>
      <c r="C280" s="40">
        <f t="shared" si="5"/>
        <v>100</v>
      </c>
    </row>
    <row r="281" spans="1:3">
      <c r="A281" s="39" t="s">
        <v>42</v>
      </c>
      <c r="B281" s="82">
        <v>46331</v>
      </c>
      <c r="C281" s="40">
        <f t="shared" si="5"/>
        <v>100</v>
      </c>
    </row>
    <row r="282" spans="1:3">
      <c r="A282" s="39" t="s">
        <v>42</v>
      </c>
      <c r="B282" s="82">
        <v>46332</v>
      </c>
      <c r="C282" s="40">
        <f t="shared" si="5"/>
        <v>100</v>
      </c>
    </row>
    <row r="283" spans="1:3">
      <c r="A283" s="39" t="s">
        <v>42</v>
      </c>
      <c r="B283" s="82">
        <v>46333</v>
      </c>
      <c r="C283" s="40">
        <f t="shared" si="5"/>
        <v>100</v>
      </c>
    </row>
    <row r="284" spans="1:3">
      <c r="A284" s="39" t="s">
        <v>42</v>
      </c>
      <c r="B284" s="82">
        <v>46334</v>
      </c>
      <c r="C284" s="40">
        <f t="shared" si="5"/>
        <v>100</v>
      </c>
    </row>
    <row r="285" spans="1:3">
      <c r="A285" s="39" t="s">
        <v>42</v>
      </c>
      <c r="B285" s="82">
        <v>46335</v>
      </c>
      <c r="C285" s="40">
        <f t="shared" si="5"/>
        <v>100</v>
      </c>
    </row>
    <row r="286" spans="1:3">
      <c r="A286" s="39" t="s">
        <v>42</v>
      </c>
      <c r="B286" s="82">
        <v>46336</v>
      </c>
      <c r="C286" s="40">
        <f t="shared" si="5"/>
        <v>100</v>
      </c>
    </row>
    <row r="287" spans="1:3">
      <c r="A287" s="39" t="s">
        <v>42</v>
      </c>
      <c r="B287" s="82">
        <v>46337</v>
      </c>
      <c r="C287" s="40">
        <f t="shared" si="5"/>
        <v>100</v>
      </c>
    </row>
    <row r="288" spans="1:3">
      <c r="A288" s="39" t="s">
        <v>42</v>
      </c>
      <c r="B288" s="82">
        <v>46338</v>
      </c>
      <c r="C288" s="40">
        <f t="shared" si="5"/>
        <v>100</v>
      </c>
    </row>
    <row r="289" spans="1:3">
      <c r="A289" s="39" t="s">
        <v>42</v>
      </c>
      <c r="B289" s="82">
        <v>46339</v>
      </c>
      <c r="C289" s="40">
        <f t="shared" si="5"/>
        <v>100</v>
      </c>
    </row>
    <row r="290" spans="1:3">
      <c r="A290" s="39" t="s">
        <v>42</v>
      </c>
      <c r="B290" s="82">
        <v>46340</v>
      </c>
      <c r="C290" s="40">
        <f t="shared" ref="C290:C353" si="6">IF(D290="",100,MAX(0,(1440-D290)/1440*100))</f>
        <v>100</v>
      </c>
    </row>
    <row r="291" spans="1:3">
      <c r="A291" s="39" t="s">
        <v>42</v>
      </c>
      <c r="B291" s="82">
        <v>46341</v>
      </c>
      <c r="C291" s="40">
        <f t="shared" si="6"/>
        <v>100</v>
      </c>
    </row>
    <row r="292" spans="1:3">
      <c r="A292" s="39" t="s">
        <v>42</v>
      </c>
      <c r="B292" s="82">
        <v>46342</v>
      </c>
      <c r="C292" s="40">
        <f t="shared" si="6"/>
        <v>100</v>
      </c>
    </row>
    <row r="293" spans="1:3">
      <c r="A293" s="39" t="s">
        <v>42</v>
      </c>
      <c r="B293" s="82">
        <v>46343</v>
      </c>
      <c r="C293" s="40">
        <f t="shared" si="6"/>
        <v>100</v>
      </c>
    </row>
    <row r="294" spans="1:3">
      <c r="A294" s="39" t="s">
        <v>42</v>
      </c>
      <c r="B294" s="82">
        <v>46344</v>
      </c>
      <c r="C294" s="40">
        <f t="shared" si="6"/>
        <v>100</v>
      </c>
    </row>
    <row r="295" spans="1:3">
      <c r="A295" s="39" t="s">
        <v>42</v>
      </c>
      <c r="B295" s="82">
        <v>46345</v>
      </c>
      <c r="C295" s="40">
        <f t="shared" si="6"/>
        <v>100</v>
      </c>
    </row>
    <row r="296" spans="1:3">
      <c r="A296" s="39" t="s">
        <v>42</v>
      </c>
      <c r="B296" s="82">
        <v>46346</v>
      </c>
      <c r="C296" s="40">
        <f t="shared" si="6"/>
        <v>100</v>
      </c>
    </row>
    <row r="297" spans="1:3">
      <c r="A297" s="39" t="s">
        <v>42</v>
      </c>
      <c r="B297" s="82">
        <v>46347</v>
      </c>
      <c r="C297" s="40">
        <f t="shared" si="6"/>
        <v>100</v>
      </c>
    </row>
    <row r="298" spans="1:3">
      <c r="A298" s="39" t="s">
        <v>42</v>
      </c>
      <c r="B298" s="82">
        <v>46348</v>
      </c>
      <c r="C298" s="40">
        <f t="shared" si="6"/>
        <v>100</v>
      </c>
    </row>
    <row r="299" spans="1:3">
      <c r="A299" s="39" t="s">
        <v>42</v>
      </c>
      <c r="B299" s="82">
        <v>46349</v>
      </c>
      <c r="C299" s="40">
        <f t="shared" si="6"/>
        <v>100</v>
      </c>
    </row>
    <row r="300" spans="1:3">
      <c r="A300" s="39" t="s">
        <v>42</v>
      </c>
      <c r="B300" s="82">
        <v>46350</v>
      </c>
      <c r="C300" s="40">
        <f t="shared" si="6"/>
        <v>100</v>
      </c>
    </row>
    <row r="301" spans="1:3">
      <c r="A301" s="39" t="s">
        <v>42</v>
      </c>
      <c r="B301" s="82">
        <v>46351</v>
      </c>
      <c r="C301" s="40">
        <f t="shared" si="6"/>
        <v>100</v>
      </c>
    </row>
    <row r="302" spans="1:3">
      <c r="A302" s="39" t="s">
        <v>42</v>
      </c>
      <c r="B302" s="82">
        <v>46352</v>
      </c>
      <c r="C302" s="40">
        <f t="shared" si="6"/>
        <v>100</v>
      </c>
    </row>
    <row r="303" spans="1:3">
      <c r="A303" s="39" t="s">
        <v>42</v>
      </c>
      <c r="B303" s="82">
        <v>46353</v>
      </c>
      <c r="C303" s="40">
        <f t="shared" si="6"/>
        <v>100</v>
      </c>
    </row>
    <row r="304" spans="1:3">
      <c r="A304" s="39" t="s">
        <v>42</v>
      </c>
      <c r="B304" s="82">
        <v>46354</v>
      </c>
      <c r="C304" s="40">
        <f t="shared" si="6"/>
        <v>100</v>
      </c>
    </row>
    <row r="305" spans="1:3">
      <c r="A305" s="39" t="s">
        <v>42</v>
      </c>
      <c r="B305" s="82">
        <v>46355</v>
      </c>
      <c r="C305" s="40">
        <f t="shared" si="6"/>
        <v>100</v>
      </c>
    </row>
    <row r="306" spans="1:3">
      <c r="A306" s="39" t="s">
        <v>42</v>
      </c>
      <c r="B306" s="82">
        <v>46356</v>
      </c>
      <c r="C306" s="40">
        <f t="shared" si="6"/>
        <v>100</v>
      </c>
    </row>
    <row r="307" spans="1:3">
      <c r="A307" s="39" t="s">
        <v>42</v>
      </c>
      <c r="B307" s="82">
        <v>46357</v>
      </c>
      <c r="C307" s="40">
        <f t="shared" si="6"/>
        <v>100</v>
      </c>
    </row>
    <row r="308" spans="1:3">
      <c r="A308" s="39" t="s">
        <v>42</v>
      </c>
      <c r="B308" s="82">
        <v>46358</v>
      </c>
      <c r="C308" s="40">
        <f t="shared" si="6"/>
        <v>100</v>
      </c>
    </row>
    <row r="309" spans="1:3">
      <c r="A309" s="39" t="s">
        <v>42</v>
      </c>
      <c r="B309" s="82">
        <v>46359</v>
      </c>
      <c r="C309" s="40">
        <f t="shared" si="6"/>
        <v>100</v>
      </c>
    </row>
    <row r="310" spans="1:3">
      <c r="A310" s="39" t="s">
        <v>42</v>
      </c>
      <c r="B310" s="82">
        <v>46360</v>
      </c>
      <c r="C310" s="40">
        <f t="shared" si="6"/>
        <v>100</v>
      </c>
    </row>
    <row r="311" spans="1:3">
      <c r="A311" s="39" t="s">
        <v>42</v>
      </c>
      <c r="B311" s="82">
        <v>46361</v>
      </c>
      <c r="C311" s="40">
        <f t="shared" si="6"/>
        <v>100</v>
      </c>
    </row>
    <row r="312" spans="1:3">
      <c r="A312" s="39" t="s">
        <v>42</v>
      </c>
      <c r="B312" s="82">
        <v>46362</v>
      </c>
      <c r="C312" s="40">
        <f t="shared" si="6"/>
        <v>100</v>
      </c>
    </row>
    <row r="313" spans="1:3">
      <c r="A313" s="39" t="s">
        <v>42</v>
      </c>
      <c r="B313" s="82">
        <v>46363</v>
      </c>
      <c r="C313" s="40">
        <f t="shared" si="6"/>
        <v>100</v>
      </c>
    </row>
    <row r="314" spans="1:3">
      <c r="A314" s="39" t="s">
        <v>42</v>
      </c>
      <c r="B314" s="82">
        <v>46364</v>
      </c>
      <c r="C314" s="40">
        <f t="shared" si="6"/>
        <v>100</v>
      </c>
    </row>
    <row r="315" spans="1:3">
      <c r="A315" s="39" t="s">
        <v>42</v>
      </c>
      <c r="B315" s="82">
        <v>46365</v>
      </c>
      <c r="C315" s="40">
        <f t="shared" si="6"/>
        <v>100</v>
      </c>
    </row>
    <row r="316" spans="1:3">
      <c r="A316" s="39" t="s">
        <v>42</v>
      </c>
      <c r="B316" s="82">
        <v>46366</v>
      </c>
      <c r="C316" s="40">
        <f t="shared" si="6"/>
        <v>100</v>
      </c>
    </row>
    <row r="317" spans="1:3">
      <c r="A317" s="39" t="s">
        <v>42</v>
      </c>
      <c r="B317" s="82">
        <v>46367</v>
      </c>
      <c r="C317" s="40">
        <f t="shared" si="6"/>
        <v>100</v>
      </c>
    </row>
    <row r="318" spans="1:3">
      <c r="A318" s="39" t="s">
        <v>42</v>
      </c>
      <c r="B318" s="82">
        <v>46368</v>
      </c>
      <c r="C318" s="40">
        <f t="shared" si="6"/>
        <v>100</v>
      </c>
    </row>
    <row r="319" spans="1:3">
      <c r="A319" s="39" t="s">
        <v>42</v>
      </c>
      <c r="B319" s="82">
        <v>46369</v>
      </c>
      <c r="C319" s="40">
        <f t="shared" si="6"/>
        <v>100</v>
      </c>
    </row>
    <row r="320" spans="1:3">
      <c r="A320" s="39" t="s">
        <v>42</v>
      </c>
      <c r="B320" s="82">
        <v>46370</v>
      </c>
      <c r="C320" s="40">
        <f t="shared" si="6"/>
        <v>100</v>
      </c>
    </row>
    <row r="321" spans="1:3">
      <c r="A321" s="39" t="s">
        <v>42</v>
      </c>
      <c r="B321" s="82">
        <v>46371</v>
      </c>
      <c r="C321" s="40">
        <f t="shared" si="6"/>
        <v>100</v>
      </c>
    </row>
    <row r="322" spans="1:3">
      <c r="A322" s="39" t="s">
        <v>42</v>
      </c>
      <c r="B322" s="82">
        <v>46372</v>
      </c>
      <c r="C322" s="40">
        <f t="shared" si="6"/>
        <v>100</v>
      </c>
    </row>
    <row r="323" spans="1:3">
      <c r="A323" s="39" t="s">
        <v>42</v>
      </c>
      <c r="B323" s="82">
        <v>46373</v>
      </c>
      <c r="C323" s="40">
        <f t="shared" si="6"/>
        <v>100</v>
      </c>
    </row>
    <row r="324" spans="1:3">
      <c r="A324" s="39" t="s">
        <v>42</v>
      </c>
      <c r="B324" s="82">
        <v>46374</v>
      </c>
      <c r="C324" s="40">
        <f t="shared" si="6"/>
        <v>100</v>
      </c>
    </row>
    <row r="325" spans="1:3">
      <c r="A325" s="39" t="s">
        <v>42</v>
      </c>
      <c r="B325" s="82">
        <v>46375</v>
      </c>
      <c r="C325" s="40">
        <f t="shared" si="6"/>
        <v>100</v>
      </c>
    </row>
    <row r="326" spans="1:3">
      <c r="A326" s="39" t="s">
        <v>42</v>
      </c>
      <c r="B326" s="82">
        <v>46376</v>
      </c>
      <c r="C326" s="40">
        <f t="shared" si="6"/>
        <v>100</v>
      </c>
    </row>
    <row r="327" spans="1:3">
      <c r="A327" s="39" t="s">
        <v>42</v>
      </c>
      <c r="B327" s="82">
        <v>46377</v>
      </c>
      <c r="C327" s="40">
        <f t="shared" si="6"/>
        <v>100</v>
      </c>
    </row>
    <row r="328" spans="1:3">
      <c r="A328" s="39" t="s">
        <v>42</v>
      </c>
      <c r="B328" s="82">
        <v>46378</v>
      </c>
      <c r="C328" s="40">
        <f t="shared" si="6"/>
        <v>100</v>
      </c>
    </row>
    <row r="329" spans="1:3">
      <c r="A329" s="39" t="s">
        <v>42</v>
      </c>
      <c r="B329" s="82">
        <v>46379</v>
      </c>
      <c r="C329" s="40">
        <f t="shared" si="6"/>
        <v>100</v>
      </c>
    </row>
    <row r="330" spans="1:3">
      <c r="A330" s="39" t="s">
        <v>42</v>
      </c>
      <c r="B330" s="82">
        <v>46380</v>
      </c>
      <c r="C330" s="40">
        <f t="shared" si="6"/>
        <v>100</v>
      </c>
    </row>
    <row r="331" spans="1:3">
      <c r="A331" s="39" t="s">
        <v>42</v>
      </c>
      <c r="B331" s="82">
        <v>46381</v>
      </c>
      <c r="C331" s="40">
        <f t="shared" si="6"/>
        <v>100</v>
      </c>
    </row>
    <row r="332" spans="1:3">
      <c r="A332" s="39" t="s">
        <v>42</v>
      </c>
      <c r="B332" s="82">
        <v>46382</v>
      </c>
      <c r="C332" s="40">
        <f t="shared" si="6"/>
        <v>100</v>
      </c>
    </row>
    <row r="333" spans="1:3">
      <c r="A333" s="39" t="s">
        <v>42</v>
      </c>
      <c r="B333" s="82">
        <v>46383</v>
      </c>
      <c r="C333" s="40">
        <f t="shared" si="6"/>
        <v>100</v>
      </c>
    </row>
    <row r="334" spans="1:3">
      <c r="A334" s="39" t="s">
        <v>42</v>
      </c>
      <c r="B334" s="82">
        <v>46384</v>
      </c>
      <c r="C334" s="40">
        <f t="shared" si="6"/>
        <v>100</v>
      </c>
    </row>
    <row r="335" spans="1:3">
      <c r="A335" s="39" t="s">
        <v>42</v>
      </c>
      <c r="B335" s="82">
        <v>46385</v>
      </c>
      <c r="C335" s="40">
        <f t="shared" si="6"/>
        <v>100</v>
      </c>
    </row>
    <row r="336" spans="1:3">
      <c r="A336" s="39" t="s">
        <v>42</v>
      </c>
      <c r="B336" s="82">
        <v>46386</v>
      </c>
      <c r="C336" s="40">
        <f t="shared" si="6"/>
        <v>100</v>
      </c>
    </row>
    <row r="337" spans="1:3">
      <c r="A337" s="39" t="s">
        <v>42</v>
      </c>
      <c r="B337" s="82">
        <v>46387</v>
      </c>
      <c r="C337" s="40">
        <f t="shared" si="6"/>
        <v>100</v>
      </c>
    </row>
    <row r="338" spans="1:3">
      <c r="A338" s="39" t="s">
        <v>42</v>
      </c>
      <c r="B338" s="82">
        <v>46296</v>
      </c>
      <c r="C338" s="40">
        <f t="shared" si="6"/>
        <v>100</v>
      </c>
    </row>
    <row r="339" spans="1:3">
      <c r="A339" s="39" t="s">
        <v>42</v>
      </c>
      <c r="B339" s="82">
        <v>46297</v>
      </c>
      <c r="C339" s="40">
        <f t="shared" si="6"/>
        <v>100</v>
      </c>
    </row>
    <row r="340" spans="1:3">
      <c r="A340" s="39" t="s">
        <v>42</v>
      </c>
      <c r="B340" s="82">
        <v>46298</v>
      </c>
      <c r="C340" s="40">
        <f t="shared" si="6"/>
        <v>100</v>
      </c>
    </row>
    <row r="341" spans="1:3">
      <c r="A341" s="39" t="s">
        <v>42</v>
      </c>
      <c r="B341" s="82">
        <v>46299</v>
      </c>
      <c r="C341" s="40">
        <f t="shared" si="6"/>
        <v>100</v>
      </c>
    </row>
    <row r="342" spans="1:3">
      <c r="A342" s="39" t="s">
        <v>42</v>
      </c>
      <c r="B342" s="82">
        <v>46300</v>
      </c>
      <c r="C342" s="40">
        <f t="shared" si="6"/>
        <v>100</v>
      </c>
    </row>
    <row r="343" spans="1:3">
      <c r="A343" s="39" t="s">
        <v>42</v>
      </c>
      <c r="B343" s="82">
        <v>46301</v>
      </c>
      <c r="C343" s="40">
        <f t="shared" si="6"/>
        <v>100</v>
      </c>
    </row>
    <row r="344" spans="1:3">
      <c r="A344" s="39" t="s">
        <v>42</v>
      </c>
      <c r="B344" s="82">
        <v>46302</v>
      </c>
      <c r="C344" s="40">
        <f t="shared" si="6"/>
        <v>100</v>
      </c>
    </row>
    <row r="345" spans="1:3">
      <c r="A345" s="39" t="s">
        <v>42</v>
      </c>
      <c r="B345" s="82">
        <v>46303</v>
      </c>
      <c r="C345" s="40">
        <f t="shared" si="6"/>
        <v>100</v>
      </c>
    </row>
    <row r="346" spans="1:3">
      <c r="A346" s="39" t="s">
        <v>42</v>
      </c>
      <c r="B346" s="82">
        <v>46304</v>
      </c>
      <c r="C346" s="40">
        <f t="shared" si="6"/>
        <v>100</v>
      </c>
    </row>
    <row r="347" spans="1:3">
      <c r="A347" s="39" t="s">
        <v>42</v>
      </c>
      <c r="B347" s="82">
        <v>46305</v>
      </c>
      <c r="C347" s="40">
        <f t="shared" si="6"/>
        <v>100</v>
      </c>
    </row>
    <row r="348" spans="1:3">
      <c r="A348" s="39" t="s">
        <v>42</v>
      </c>
      <c r="B348" s="82">
        <v>46306</v>
      </c>
      <c r="C348" s="40">
        <f t="shared" si="6"/>
        <v>100</v>
      </c>
    </row>
    <row r="349" spans="1:3">
      <c r="A349" s="39" t="s">
        <v>42</v>
      </c>
      <c r="B349" s="82">
        <v>46307</v>
      </c>
      <c r="C349" s="40">
        <f t="shared" si="6"/>
        <v>100</v>
      </c>
    </row>
    <row r="350" spans="1:3">
      <c r="A350" s="39" t="s">
        <v>42</v>
      </c>
      <c r="B350" s="82">
        <v>46308</v>
      </c>
      <c r="C350" s="40">
        <f t="shared" si="6"/>
        <v>100</v>
      </c>
    </row>
    <row r="351" spans="1:3">
      <c r="A351" s="39" t="s">
        <v>42</v>
      </c>
      <c r="B351" s="82">
        <v>46309</v>
      </c>
      <c r="C351" s="40">
        <f t="shared" si="6"/>
        <v>100</v>
      </c>
    </row>
    <row r="352" spans="1:3">
      <c r="A352" s="39" t="s">
        <v>42</v>
      </c>
      <c r="B352" s="82">
        <v>46310</v>
      </c>
      <c r="C352" s="40">
        <f t="shared" si="6"/>
        <v>100</v>
      </c>
    </row>
    <row r="353" spans="1:3">
      <c r="A353" s="39" t="s">
        <v>42</v>
      </c>
      <c r="B353" s="82">
        <v>46311</v>
      </c>
      <c r="C353" s="40">
        <f t="shared" si="6"/>
        <v>100</v>
      </c>
    </row>
    <row r="354" spans="1:3">
      <c r="A354" s="39" t="s">
        <v>42</v>
      </c>
      <c r="B354" s="82">
        <v>46312</v>
      </c>
      <c r="C354" s="40">
        <f t="shared" ref="C354:C417" si="7">IF(D354="",100,MAX(0,(1440-D354)/1440*100))</f>
        <v>100</v>
      </c>
    </row>
    <row r="355" spans="1:3">
      <c r="A355" s="39" t="s">
        <v>42</v>
      </c>
      <c r="B355" s="82">
        <v>46313</v>
      </c>
      <c r="C355" s="40">
        <f t="shared" si="7"/>
        <v>100</v>
      </c>
    </row>
    <row r="356" spans="1:3">
      <c r="A356" s="39" t="s">
        <v>42</v>
      </c>
      <c r="B356" s="82">
        <v>46314</v>
      </c>
      <c r="C356" s="40">
        <f t="shared" si="7"/>
        <v>100</v>
      </c>
    </row>
    <row r="357" spans="1:3">
      <c r="A357" s="39" t="s">
        <v>42</v>
      </c>
      <c r="B357" s="82">
        <v>46315</v>
      </c>
      <c r="C357" s="40">
        <f t="shared" si="7"/>
        <v>100</v>
      </c>
    </row>
    <row r="358" spans="1:3">
      <c r="A358" s="39" t="s">
        <v>42</v>
      </c>
      <c r="B358" s="82">
        <v>46316</v>
      </c>
      <c r="C358" s="40">
        <f t="shared" si="7"/>
        <v>100</v>
      </c>
    </row>
    <row r="359" spans="1:3">
      <c r="A359" s="39" t="s">
        <v>42</v>
      </c>
      <c r="B359" s="82">
        <v>46317</v>
      </c>
      <c r="C359" s="40">
        <f t="shared" si="7"/>
        <v>100</v>
      </c>
    </row>
    <row r="360" spans="1:3">
      <c r="A360" s="39" t="s">
        <v>42</v>
      </c>
      <c r="B360" s="82">
        <v>46318</v>
      </c>
      <c r="C360" s="40">
        <f t="shared" si="7"/>
        <v>100</v>
      </c>
    </row>
    <row r="361" spans="1:3">
      <c r="A361" s="39" t="s">
        <v>42</v>
      </c>
      <c r="B361" s="82">
        <v>46319</v>
      </c>
      <c r="C361" s="40">
        <f t="shared" si="7"/>
        <v>100</v>
      </c>
    </row>
    <row r="362" spans="1:3">
      <c r="A362" s="39" t="s">
        <v>42</v>
      </c>
      <c r="B362" s="82">
        <v>46320</v>
      </c>
      <c r="C362" s="40">
        <f t="shared" si="7"/>
        <v>100</v>
      </c>
    </row>
    <row r="363" spans="1:3">
      <c r="A363" s="39" t="s">
        <v>42</v>
      </c>
      <c r="B363" s="82">
        <v>46321</v>
      </c>
      <c r="C363" s="40">
        <f t="shared" si="7"/>
        <v>100</v>
      </c>
    </row>
    <row r="364" spans="1:3">
      <c r="A364" s="39" t="s">
        <v>42</v>
      </c>
      <c r="B364" s="82">
        <v>46322</v>
      </c>
      <c r="C364" s="40">
        <f t="shared" si="7"/>
        <v>100</v>
      </c>
    </row>
    <row r="365" spans="1:3">
      <c r="A365" s="39" t="s">
        <v>42</v>
      </c>
      <c r="B365" s="82">
        <v>46323</v>
      </c>
      <c r="C365" s="40">
        <f t="shared" si="7"/>
        <v>100</v>
      </c>
    </row>
    <row r="366" spans="1:3">
      <c r="A366" s="39" t="s">
        <v>42</v>
      </c>
      <c r="B366" s="82">
        <v>46324</v>
      </c>
      <c r="C366" s="40">
        <f t="shared" si="7"/>
        <v>100</v>
      </c>
    </row>
    <row r="367" spans="1:3">
      <c r="A367" s="39" t="s">
        <v>42</v>
      </c>
      <c r="B367" s="82">
        <v>46325</v>
      </c>
      <c r="C367" s="40">
        <f t="shared" si="7"/>
        <v>100</v>
      </c>
    </row>
    <row r="368" spans="1:3">
      <c r="A368" s="39" t="s">
        <v>42</v>
      </c>
      <c r="B368" s="82">
        <v>46326</v>
      </c>
      <c r="C368" s="40">
        <f t="shared" si="7"/>
        <v>100</v>
      </c>
    </row>
    <row r="369" spans="1:3">
      <c r="A369" s="39" t="s">
        <v>42</v>
      </c>
      <c r="B369" s="82">
        <v>46327</v>
      </c>
      <c r="C369" s="40">
        <f t="shared" si="7"/>
        <v>100</v>
      </c>
    </row>
    <row r="370" spans="1:3">
      <c r="A370" s="39" t="s">
        <v>42</v>
      </c>
      <c r="B370" s="82">
        <v>46328</v>
      </c>
      <c r="C370" s="40">
        <f t="shared" si="7"/>
        <v>100</v>
      </c>
    </row>
    <row r="371" spans="1:3">
      <c r="A371" s="39" t="s">
        <v>42</v>
      </c>
      <c r="B371" s="82">
        <v>46329</v>
      </c>
      <c r="C371" s="40">
        <f t="shared" si="7"/>
        <v>100</v>
      </c>
    </row>
    <row r="372" spans="1:3">
      <c r="A372" s="39" t="s">
        <v>42</v>
      </c>
      <c r="B372" s="82">
        <v>46330</v>
      </c>
      <c r="C372" s="40">
        <f t="shared" si="7"/>
        <v>100</v>
      </c>
    </row>
    <row r="373" spans="1:3">
      <c r="A373" s="39" t="s">
        <v>42</v>
      </c>
      <c r="B373" s="82">
        <v>46331</v>
      </c>
      <c r="C373" s="40">
        <f t="shared" si="7"/>
        <v>100</v>
      </c>
    </row>
    <row r="374" spans="1:3">
      <c r="A374" s="39" t="s">
        <v>42</v>
      </c>
      <c r="B374" s="82">
        <v>46332</v>
      </c>
      <c r="C374" s="40">
        <f t="shared" si="7"/>
        <v>100</v>
      </c>
    </row>
    <row r="375" spans="1:3">
      <c r="A375" s="39" t="s">
        <v>42</v>
      </c>
      <c r="B375" s="82">
        <v>46333</v>
      </c>
      <c r="C375" s="40">
        <f t="shared" si="7"/>
        <v>100</v>
      </c>
    </row>
    <row r="376" spans="1:3">
      <c r="A376" s="39" t="s">
        <v>42</v>
      </c>
      <c r="B376" s="82">
        <v>46334</v>
      </c>
      <c r="C376" s="40">
        <f t="shared" si="7"/>
        <v>100</v>
      </c>
    </row>
    <row r="377" spans="1:3">
      <c r="A377" s="39" t="s">
        <v>42</v>
      </c>
      <c r="B377" s="82">
        <v>46335</v>
      </c>
      <c r="C377" s="40">
        <f t="shared" si="7"/>
        <v>100</v>
      </c>
    </row>
    <row r="378" spans="1:3">
      <c r="A378" s="39" t="s">
        <v>42</v>
      </c>
      <c r="B378" s="82">
        <v>46336</v>
      </c>
      <c r="C378" s="40">
        <f t="shared" si="7"/>
        <v>100</v>
      </c>
    </row>
    <row r="379" spans="1:3">
      <c r="A379" s="39" t="s">
        <v>42</v>
      </c>
      <c r="B379" s="82">
        <v>46337</v>
      </c>
      <c r="C379" s="40">
        <f t="shared" si="7"/>
        <v>100</v>
      </c>
    </row>
    <row r="380" spans="1:3">
      <c r="A380" s="39" t="s">
        <v>42</v>
      </c>
      <c r="B380" s="82">
        <v>46338</v>
      </c>
      <c r="C380" s="40">
        <f t="shared" si="7"/>
        <v>100</v>
      </c>
    </row>
    <row r="381" spans="1:3">
      <c r="A381" s="39" t="s">
        <v>42</v>
      </c>
      <c r="B381" s="82">
        <v>46339</v>
      </c>
      <c r="C381" s="40">
        <f t="shared" si="7"/>
        <v>100</v>
      </c>
    </row>
    <row r="382" spans="1:3">
      <c r="A382" s="39" t="s">
        <v>42</v>
      </c>
      <c r="B382" s="82">
        <v>46340</v>
      </c>
      <c r="C382" s="40">
        <f t="shared" si="7"/>
        <v>100</v>
      </c>
    </row>
    <row r="383" spans="1:3">
      <c r="A383" s="39" t="s">
        <v>42</v>
      </c>
      <c r="B383" s="82">
        <v>46341</v>
      </c>
      <c r="C383" s="40">
        <f t="shared" si="7"/>
        <v>100</v>
      </c>
    </row>
    <row r="384" spans="1:3">
      <c r="A384" s="39" t="s">
        <v>42</v>
      </c>
      <c r="B384" s="82">
        <v>46342</v>
      </c>
      <c r="C384" s="40">
        <f t="shared" si="7"/>
        <v>100</v>
      </c>
    </row>
    <row r="385" spans="1:3">
      <c r="A385" s="39" t="s">
        <v>42</v>
      </c>
      <c r="B385" s="82">
        <v>46343</v>
      </c>
      <c r="C385" s="40">
        <f t="shared" si="7"/>
        <v>100</v>
      </c>
    </row>
    <row r="386" spans="1:3">
      <c r="A386" s="39" t="s">
        <v>42</v>
      </c>
      <c r="B386" s="82">
        <v>46344</v>
      </c>
      <c r="C386" s="40">
        <f t="shared" si="7"/>
        <v>100</v>
      </c>
    </row>
    <row r="387" spans="1:3">
      <c r="A387" s="39" t="s">
        <v>42</v>
      </c>
      <c r="B387" s="82">
        <v>46345</v>
      </c>
      <c r="C387" s="40">
        <f t="shared" si="7"/>
        <v>100</v>
      </c>
    </row>
    <row r="388" spans="1:3">
      <c r="A388" s="39" t="s">
        <v>42</v>
      </c>
      <c r="B388" s="82">
        <v>46346</v>
      </c>
      <c r="C388" s="40">
        <f t="shared" si="7"/>
        <v>100</v>
      </c>
    </row>
    <row r="389" spans="1:3">
      <c r="A389" s="39" t="s">
        <v>42</v>
      </c>
      <c r="B389" s="82">
        <v>46347</v>
      </c>
      <c r="C389" s="40">
        <f t="shared" si="7"/>
        <v>100</v>
      </c>
    </row>
    <row r="390" spans="1:3">
      <c r="A390" s="39" t="s">
        <v>42</v>
      </c>
      <c r="B390" s="82">
        <v>46348</v>
      </c>
      <c r="C390" s="40">
        <f t="shared" si="7"/>
        <v>100</v>
      </c>
    </row>
    <row r="391" spans="1:3">
      <c r="A391" s="39" t="s">
        <v>42</v>
      </c>
      <c r="B391" s="82">
        <v>46349</v>
      </c>
      <c r="C391" s="40">
        <f t="shared" si="7"/>
        <v>100</v>
      </c>
    </row>
    <row r="392" spans="1:3">
      <c r="A392" s="39" t="s">
        <v>42</v>
      </c>
      <c r="B392" s="82">
        <v>46350</v>
      </c>
      <c r="C392" s="40">
        <f t="shared" si="7"/>
        <v>100</v>
      </c>
    </row>
    <row r="393" spans="1:3">
      <c r="A393" s="39" t="s">
        <v>42</v>
      </c>
      <c r="B393" s="82">
        <v>46351</v>
      </c>
      <c r="C393" s="40">
        <f t="shared" si="7"/>
        <v>100</v>
      </c>
    </row>
    <row r="394" spans="1:3">
      <c r="A394" s="39" t="s">
        <v>42</v>
      </c>
      <c r="B394" s="82">
        <v>46352</v>
      </c>
      <c r="C394" s="40">
        <f t="shared" si="7"/>
        <v>100</v>
      </c>
    </row>
    <row r="395" spans="1:3">
      <c r="A395" s="39" t="s">
        <v>42</v>
      </c>
      <c r="B395" s="82">
        <v>46353</v>
      </c>
      <c r="C395" s="40">
        <f t="shared" si="7"/>
        <v>100</v>
      </c>
    </row>
    <row r="396" spans="1:3">
      <c r="A396" s="39" t="s">
        <v>42</v>
      </c>
      <c r="B396" s="82">
        <v>46354</v>
      </c>
      <c r="C396" s="40">
        <f t="shared" si="7"/>
        <v>100</v>
      </c>
    </row>
    <row r="397" spans="1:3">
      <c r="A397" s="39" t="s">
        <v>42</v>
      </c>
      <c r="B397" s="82">
        <v>46355</v>
      </c>
      <c r="C397" s="40">
        <f t="shared" si="7"/>
        <v>100</v>
      </c>
    </row>
    <row r="398" spans="1:3">
      <c r="A398" s="39" t="s">
        <v>42</v>
      </c>
      <c r="B398" s="82">
        <v>46356</v>
      </c>
      <c r="C398" s="40">
        <f t="shared" si="7"/>
        <v>100</v>
      </c>
    </row>
    <row r="399" spans="1:3">
      <c r="A399" s="39" t="s">
        <v>42</v>
      </c>
      <c r="B399" s="82">
        <v>46357</v>
      </c>
      <c r="C399" s="40">
        <f t="shared" si="7"/>
        <v>100</v>
      </c>
    </row>
    <row r="400" spans="1:3">
      <c r="A400" s="39" t="s">
        <v>42</v>
      </c>
      <c r="B400" s="82">
        <v>46358</v>
      </c>
      <c r="C400" s="40">
        <f t="shared" si="7"/>
        <v>100</v>
      </c>
    </row>
    <row r="401" spans="1:3">
      <c r="A401" s="39" t="s">
        <v>42</v>
      </c>
      <c r="B401" s="82">
        <v>46359</v>
      </c>
      <c r="C401" s="40">
        <f t="shared" si="7"/>
        <v>100</v>
      </c>
    </row>
    <row r="402" spans="1:3">
      <c r="A402" s="39" t="s">
        <v>42</v>
      </c>
      <c r="B402" s="82">
        <v>46360</v>
      </c>
      <c r="C402" s="40">
        <f t="shared" si="7"/>
        <v>100</v>
      </c>
    </row>
    <row r="403" spans="1:3">
      <c r="A403" s="39" t="s">
        <v>42</v>
      </c>
      <c r="B403" s="82">
        <v>46361</v>
      </c>
      <c r="C403" s="40">
        <f t="shared" si="7"/>
        <v>100</v>
      </c>
    </row>
    <row r="404" spans="1:3">
      <c r="A404" s="39" t="s">
        <v>42</v>
      </c>
      <c r="B404" s="82">
        <v>46362</v>
      </c>
      <c r="C404" s="40">
        <f t="shared" si="7"/>
        <v>100</v>
      </c>
    </row>
    <row r="405" spans="1:3">
      <c r="A405" s="39" t="s">
        <v>42</v>
      </c>
      <c r="B405" s="82">
        <v>46363</v>
      </c>
      <c r="C405" s="40">
        <f t="shared" si="7"/>
        <v>100</v>
      </c>
    </row>
    <row r="406" spans="1:3">
      <c r="A406" s="39" t="s">
        <v>42</v>
      </c>
      <c r="B406" s="82">
        <v>46364</v>
      </c>
      <c r="C406" s="40">
        <f t="shared" si="7"/>
        <v>100</v>
      </c>
    </row>
    <row r="407" spans="1:3">
      <c r="A407" s="39" t="s">
        <v>42</v>
      </c>
      <c r="B407" s="82">
        <v>46365</v>
      </c>
      <c r="C407" s="40">
        <f t="shared" si="7"/>
        <v>100</v>
      </c>
    </row>
    <row r="408" spans="1:3">
      <c r="A408" s="39" t="s">
        <v>42</v>
      </c>
      <c r="B408" s="82">
        <v>46366</v>
      </c>
      <c r="C408" s="40">
        <f t="shared" si="7"/>
        <v>100</v>
      </c>
    </row>
    <row r="409" spans="1:3">
      <c r="A409" s="39" t="s">
        <v>42</v>
      </c>
      <c r="B409" s="82">
        <v>46367</v>
      </c>
      <c r="C409" s="40">
        <f t="shared" si="7"/>
        <v>100</v>
      </c>
    </row>
    <row r="410" spans="1:3">
      <c r="A410" s="39" t="s">
        <v>42</v>
      </c>
      <c r="B410" s="82">
        <v>46368</v>
      </c>
      <c r="C410" s="40">
        <f t="shared" si="7"/>
        <v>100</v>
      </c>
    </row>
    <row r="411" spans="1:3">
      <c r="A411" s="39" t="s">
        <v>42</v>
      </c>
      <c r="B411" s="82">
        <v>46369</v>
      </c>
      <c r="C411" s="40">
        <f t="shared" si="7"/>
        <v>100</v>
      </c>
    </row>
    <row r="412" spans="1:3">
      <c r="A412" s="39" t="s">
        <v>42</v>
      </c>
      <c r="B412" s="82">
        <v>46370</v>
      </c>
      <c r="C412" s="40">
        <f t="shared" si="7"/>
        <v>100</v>
      </c>
    </row>
    <row r="413" spans="1:3">
      <c r="A413" s="39" t="s">
        <v>42</v>
      </c>
      <c r="B413" s="82">
        <v>46371</v>
      </c>
      <c r="C413" s="40">
        <f t="shared" si="7"/>
        <v>100</v>
      </c>
    </row>
    <row r="414" spans="1:3">
      <c r="A414" s="39" t="s">
        <v>42</v>
      </c>
      <c r="B414" s="82">
        <v>46372</v>
      </c>
      <c r="C414" s="40">
        <f t="shared" si="7"/>
        <v>100</v>
      </c>
    </row>
    <row r="415" spans="1:3">
      <c r="A415" s="39" t="s">
        <v>42</v>
      </c>
      <c r="B415" s="82">
        <v>46373</v>
      </c>
      <c r="C415" s="40">
        <f t="shared" si="7"/>
        <v>100</v>
      </c>
    </row>
    <row r="416" spans="1:3">
      <c r="A416" s="39" t="s">
        <v>42</v>
      </c>
      <c r="B416" s="82">
        <v>46374</v>
      </c>
      <c r="C416" s="40">
        <f t="shared" si="7"/>
        <v>100</v>
      </c>
    </row>
    <row r="417" spans="1:3">
      <c r="A417" s="39" t="s">
        <v>42</v>
      </c>
      <c r="B417" s="82">
        <v>46375</v>
      </c>
      <c r="C417" s="40">
        <f t="shared" si="7"/>
        <v>100</v>
      </c>
    </row>
    <row r="418" spans="1:3">
      <c r="A418" s="39" t="s">
        <v>42</v>
      </c>
      <c r="B418" s="82">
        <v>46376</v>
      </c>
      <c r="C418" s="40">
        <f t="shared" ref="C418:C481" si="8">IF(D418="",100,MAX(0,(1440-D418)/1440*100))</f>
        <v>100</v>
      </c>
    </row>
    <row r="419" spans="1:3">
      <c r="A419" s="39" t="s">
        <v>42</v>
      </c>
      <c r="B419" s="82">
        <v>46377</v>
      </c>
      <c r="C419" s="40">
        <f t="shared" si="8"/>
        <v>100</v>
      </c>
    </row>
    <row r="420" spans="1:3">
      <c r="A420" s="39" t="s">
        <v>42</v>
      </c>
      <c r="B420" s="82">
        <v>46378</v>
      </c>
      <c r="C420" s="40">
        <f t="shared" si="8"/>
        <v>100</v>
      </c>
    </row>
    <row r="421" spans="1:3">
      <c r="A421" s="39" t="s">
        <v>42</v>
      </c>
      <c r="B421" s="82">
        <v>46379</v>
      </c>
      <c r="C421" s="40">
        <f t="shared" si="8"/>
        <v>100</v>
      </c>
    </row>
    <row r="422" spans="1:3">
      <c r="A422" s="39" t="s">
        <v>42</v>
      </c>
      <c r="B422" s="82">
        <v>46380</v>
      </c>
      <c r="C422" s="40">
        <f t="shared" si="8"/>
        <v>100</v>
      </c>
    </row>
    <row r="423" spans="1:3">
      <c r="A423" s="39" t="s">
        <v>42</v>
      </c>
      <c r="B423" s="82">
        <v>46381</v>
      </c>
      <c r="C423" s="40">
        <f t="shared" si="8"/>
        <v>100</v>
      </c>
    </row>
    <row r="424" spans="1:3">
      <c r="A424" s="39" t="s">
        <v>42</v>
      </c>
      <c r="B424" s="82">
        <v>46382</v>
      </c>
      <c r="C424" s="40">
        <f t="shared" si="8"/>
        <v>100</v>
      </c>
    </row>
    <row r="425" spans="1:3">
      <c r="A425" s="39" t="s">
        <v>42</v>
      </c>
      <c r="B425" s="82">
        <v>46383</v>
      </c>
      <c r="C425" s="40">
        <f t="shared" si="8"/>
        <v>100</v>
      </c>
    </row>
    <row r="426" spans="1:3">
      <c r="A426" s="39" t="s">
        <v>42</v>
      </c>
      <c r="B426" s="82">
        <v>46384</v>
      </c>
      <c r="C426" s="40">
        <f t="shared" si="8"/>
        <v>100</v>
      </c>
    </row>
    <row r="427" spans="1:3">
      <c r="A427" s="39" t="s">
        <v>42</v>
      </c>
      <c r="B427" s="82">
        <v>46385</v>
      </c>
      <c r="C427" s="40">
        <f t="shared" si="8"/>
        <v>100</v>
      </c>
    </row>
    <row r="428" spans="1:3">
      <c r="A428" s="39" t="s">
        <v>42</v>
      </c>
      <c r="B428" s="82">
        <v>46386</v>
      </c>
      <c r="C428" s="40">
        <f t="shared" si="8"/>
        <v>100</v>
      </c>
    </row>
    <row r="429" spans="1:3">
      <c r="A429" s="39" t="s">
        <v>42</v>
      </c>
      <c r="B429" s="82">
        <v>46387</v>
      </c>
      <c r="C429" s="40">
        <f t="shared" si="8"/>
        <v>100</v>
      </c>
    </row>
    <row r="430" spans="1:3">
      <c r="A430" s="39" t="s">
        <v>23</v>
      </c>
      <c r="B430" s="82">
        <v>46296</v>
      </c>
      <c r="C430" s="40">
        <f t="shared" si="8"/>
        <v>100</v>
      </c>
    </row>
    <row r="431" spans="1:3">
      <c r="A431" s="39" t="s">
        <v>23</v>
      </c>
      <c r="B431" s="82">
        <v>46297</v>
      </c>
      <c r="C431" s="40">
        <f t="shared" si="8"/>
        <v>100</v>
      </c>
    </row>
    <row r="432" spans="1:3">
      <c r="A432" s="39" t="s">
        <v>23</v>
      </c>
      <c r="B432" s="82">
        <v>46298</v>
      </c>
      <c r="C432" s="40">
        <f t="shared" si="8"/>
        <v>100</v>
      </c>
    </row>
    <row r="433" spans="1:3">
      <c r="A433" s="39" t="s">
        <v>23</v>
      </c>
      <c r="B433" s="82">
        <v>46299</v>
      </c>
      <c r="C433" s="40">
        <f t="shared" si="8"/>
        <v>100</v>
      </c>
    </row>
    <row r="434" spans="1:3">
      <c r="A434" s="39" t="s">
        <v>23</v>
      </c>
      <c r="B434" s="82">
        <v>46300</v>
      </c>
      <c r="C434" s="40">
        <f t="shared" si="8"/>
        <v>100</v>
      </c>
    </row>
    <row r="435" spans="1:3">
      <c r="A435" s="39" t="s">
        <v>23</v>
      </c>
      <c r="B435" s="82">
        <v>46301</v>
      </c>
      <c r="C435" s="40">
        <f t="shared" si="8"/>
        <v>100</v>
      </c>
    </row>
    <row r="436" spans="1:3">
      <c r="A436" s="39" t="s">
        <v>23</v>
      </c>
      <c r="B436" s="82">
        <v>46302</v>
      </c>
      <c r="C436" s="40">
        <f t="shared" si="8"/>
        <v>100</v>
      </c>
    </row>
    <row r="437" spans="1:3">
      <c r="A437" s="39" t="s">
        <v>23</v>
      </c>
      <c r="B437" s="82">
        <v>46303</v>
      </c>
      <c r="C437" s="40">
        <f t="shared" si="8"/>
        <v>100</v>
      </c>
    </row>
    <row r="438" spans="1:3">
      <c r="A438" s="39" t="s">
        <v>23</v>
      </c>
      <c r="B438" s="82">
        <v>46304</v>
      </c>
      <c r="C438" s="40">
        <f t="shared" si="8"/>
        <v>100</v>
      </c>
    </row>
    <row r="439" spans="1:3">
      <c r="A439" s="39" t="s">
        <v>23</v>
      </c>
      <c r="B439" s="82">
        <v>46305</v>
      </c>
      <c r="C439" s="40">
        <f t="shared" si="8"/>
        <v>100</v>
      </c>
    </row>
    <row r="440" spans="1:3">
      <c r="A440" s="39" t="s">
        <v>23</v>
      </c>
      <c r="B440" s="82">
        <v>46306</v>
      </c>
      <c r="C440" s="40">
        <f t="shared" si="8"/>
        <v>100</v>
      </c>
    </row>
    <row r="441" spans="1:3">
      <c r="A441" s="39" t="s">
        <v>23</v>
      </c>
      <c r="B441" s="82">
        <v>46307</v>
      </c>
      <c r="C441" s="40">
        <f t="shared" si="8"/>
        <v>100</v>
      </c>
    </row>
    <row r="442" spans="1:3">
      <c r="A442" s="39" t="s">
        <v>23</v>
      </c>
      <c r="B442" s="82">
        <v>46308</v>
      </c>
      <c r="C442" s="40">
        <f t="shared" si="8"/>
        <v>100</v>
      </c>
    </row>
    <row r="443" spans="1:3">
      <c r="A443" s="39" t="s">
        <v>23</v>
      </c>
      <c r="B443" s="82">
        <v>46309</v>
      </c>
      <c r="C443" s="40">
        <f t="shared" si="8"/>
        <v>100</v>
      </c>
    </row>
    <row r="444" spans="1:3">
      <c r="A444" s="39" t="s">
        <v>23</v>
      </c>
      <c r="B444" s="82">
        <v>46310</v>
      </c>
      <c r="C444" s="40">
        <f t="shared" si="8"/>
        <v>100</v>
      </c>
    </row>
    <row r="445" spans="1:3">
      <c r="A445" s="39" t="s">
        <v>23</v>
      </c>
      <c r="B445" s="82">
        <v>46311</v>
      </c>
      <c r="C445" s="40">
        <f t="shared" si="8"/>
        <v>100</v>
      </c>
    </row>
    <row r="446" spans="1:3">
      <c r="A446" s="39" t="s">
        <v>23</v>
      </c>
      <c r="B446" s="82">
        <v>46312</v>
      </c>
      <c r="C446" s="40">
        <f t="shared" si="8"/>
        <v>100</v>
      </c>
    </row>
    <row r="447" spans="1:3">
      <c r="A447" s="39" t="s">
        <v>23</v>
      </c>
      <c r="B447" s="82">
        <v>46313</v>
      </c>
      <c r="C447" s="40">
        <f t="shared" si="8"/>
        <v>100</v>
      </c>
    </row>
    <row r="448" spans="1:3">
      <c r="A448" s="39" t="s">
        <v>23</v>
      </c>
      <c r="B448" s="82">
        <v>46314</v>
      </c>
      <c r="C448" s="40">
        <f t="shared" si="8"/>
        <v>100</v>
      </c>
    </row>
    <row r="449" spans="1:3">
      <c r="A449" s="39" t="s">
        <v>23</v>
      </c>
      <c r="B449" s="82">
        <v>46315</v>
      </c>
      <c r="C449" s="40">
        <f t="shared" si="8"/>
        <v>100</v>
      </c>
    </row>
    <row r="450" spans="1:3">
      <c r="A450" s="39" t="s">
        <v>23</v>
      </c>
      <c r="B450" s="82">
        <v>46316</v>
      </c>
      <c r="C450" s="40">
        <f t="shared" si="8"/>
        <v>100</v>
      </c>
    </row>
    <row r="451" spans="1:3">
      <c r="A451" s="39" t="s">
        <v>23</v>
      </c>
      <c r="B451" s="82">
        <v>46317</v>
      </c>
      <c r="C451" s="40">
        <f t="shared" si="8"/>
        <v>100</v>
      </c>
    </row>
    <row r="452" spans="1:3">
      <c r="A452" s="39" t="s">
        <v>23</v>
      </c>
      <c r="B452" s="82">
        <v>46318</v>
      </c>
      <c r="C452" s="40">
        <f t="shared" si="8"/>
        <v>100</v>
      </c>
    </row>
    <row r="453" spans="1:3">
      <c r="A453" s="39" t="s">
        <v>23</v>
      </c>
      <c r="B453" s="82">
        <v>46319</v>
      </c>
      <c r="C453" s="40">
        <f t="shared" si="8"/>
        <v>100</v>
      </c>
    </row>
    <row r="454" spans="1:3">
      <c r="A454" s="39" t="s">
        <v>23</v>
      </c>
      <c r="B454" s="82">
        <v>46320</v>
      </c>
      <c r="C454" s="40">
        <f t="shared" si="8"/>
        <v>100</v>
      </c>
    </row>
    <row r="455" spans="1:3">
      <c r="A455" s="39" t="s">
        <v>23</v>
      </c>
      <c r="B455" s="82">
        <v>46321</v>
      </c>
      <c r="C455" s="40">
        <f t="shared" si="8"/>
        <v>100</v>
      </c>
    </row>
    <row r="456" spans="1:3">
      <c r="A456" s="39" t="s">
        <v>23</v>
      </c>
      <c r="B456" s="82">
        <v>46322</v>
      </c>
      <c r="C456" s="40">
        <f t="shared" si="8"/>
        <v>100</v>
      </c>
    </row>
    <row r="457" spans="1:3">
      <c r="A457" s="39" t="s">
        <v>23</v>
      </c>
      <c r="B457" s="82">
        <v>46323</v>
      </c>
      <c r="C457" s="40">
        <f t="shared" si="8"/>
        <v>100</v>
      </c>
    </row>
    <row r="458" spans="1:3">
      <c r="A458" s="39" t="s">
        <v>23</v>
      </c>
      <c r="B458" s="82">
        <v>46324</v>
      </c>
      <c r="C458" s="40">
        <f t="shared" si="8"/>
        <v>100</v>
      </c>
    </row>
    <row r="459" spans="1:3">
      <c r="A459" s="39" t="s">
        <v>23</v>
      </c>
      <c r="B459" s="82">
        <v>46325</v>
      </c>
      <c r="C459" s="40">
        <f t="shared" si="8"/>
        <v>100</v>
      </c>
    </row>
    <row r="460" spans="1:3">
      <c r="A460" s="39" t="s">
        <v>23</v>
      </c>
      <c r="B460" s="82">
        <v>46326</v>
      </c>
      <c r="C460" s="40">
        <f t="shared" si="8"/>
        <v>100</v>
      </c>
    </row>
    <row r="461" spans="1:3">
      <c r="A461" s="39" t="s">
        <v>23</v>
      </c>
      <c r="B461" s="82">
        <v>46327</v>
      </c>
      <c r="C461" s="40">
        <f t="shared" si="8"/>
        <v>100</v>
      </c>
    </row>
    <row r="462" spans="1:3">
      <c r="A462" s="39" t="s">
        <v>23</v>
      </c>
      <c r="B462" s="82">
        <v>46328</v>
      </c>
      <c r="C462" s="40">
        <f t="shared" si="8"/>
        <v>100</v>
      </c>
    </row>
    <row r="463" spans="1:3">
      <c r="A463" s="39" t="s">
        <v>23</v>
      </c>
      <c r="B463" s="82">
        <v>46329</v>
      </c>
      <c r="C463" s="40">
        <f t="shared" si="8"/>
        <v>100</v>
      </c>
    </row>
    <row r="464" spans="1:3">
      <c r="A464" s="39" t="s">
        <v>23</v>
      </c>
      <c r="B464" s="82">
        <v>46330</v>
      </c>
      <c r="C464" s="40">
        <f t="shared" si="8"/>
        <v>100</v>
      </c>
    </row>
    <row r="465" spans="1:3">
      <c r="A465" s="39" t="s">
        <v>23</v>
      </c>
      <c r="B465" s="82">
        <v>46331</v>
      </c>
      <c r="C465" s="40">
        <f t="shared" si="8"/>
        <v>100</v>
      </c>
    </row>
    <row r="466" spans="1:3">
      <c r="A466" s="39" t="s">
        <v>23</v>
      </c>
      <c r="B466" s="82">
        <v>46332</v>
      </c>
      <c r="C466" s="40">
        <f t="shared" si="8"/>
        <v>100</v>
      </c>
    </row>
    <row r="467" spans="1:3">
      <c r="A467" s="39" t="s">
        <v>23</v>
      </c>
      <c r="B467" s="82">
        <v>46333</v>
      </c>
      <c r="C467" s="40">
        <f t="shared" si="8"/>
        <v>100</v>
      </c>
    </row>
    <row r="468" spans="1:3">
      <c r="A468" s="39" t="s">
        <v>23</v>
      </c>
      <c r="B468" s="82">
        <v>46334</v>
      </c>
      <c r="C468" s="40">
        <f t="shared" si="8"/>
        <v>100</v>
      </c>
    </row>
    <row r="469" spans="1:3">
      <c r="A469" s="39" t="s">
        <v>23</v>
      </c>
      <c r="B469" s="82">
        <v>46335</v>
      </c>
      <c r="C469" s="40">
        <f t="shared" si="8"/>
        <v>100</v>
      </c>
    </row>
    <row r="470" spans="1:3">
      <c r="A470" s="39" t="s">
        <v>23</v>
      </c>
      <c r="B470" s="82">
        <v>46336</v>
      </c>
      <c r="C470" s="40">
        <f t="shared" si="8"/>
        <v>100</v>
      </c>
    </row>
    <row r="471" spans="1:3">
      <c r="A471" s="39" t="s">
        <v>23</v>
      </c>
      <c r="B471" s="82">
        <v>46337</v>
      </c>
      <c r="C471" s="40">
        <f t="shared" si="8"/>
        <v>100</v>
      </c>
    </row>
    <row r="472" spans="1:3">
      <c r="A472" s="39" t="s">
        <v>23</v>
      </c>
      <c r="B472" s="82">
        <v>46338</v>
      </c>
      <c r="C472" s="40">
        <f t="shared" si="8"/>
        <v>100</v>
      </c>
    </row>
    <row r="473" spans="1:3">
      <c r="A473" s="39" t="s">
        <v>23</v>
      </c>
      <c r="B473" s="82">
        <v>46339</v>
      </c>
      <c r="C473" s="40">
        <f t="shared" si="8"/>
        <v>100</v>
      </c>
    </row>
    <row r="474" spans="1:3">
      <c r="A474" s="39" t="s">
        <v>23</v>
      </c>
      <c r="B474" s="82">
        <v>46340</v>
      </c>
      <c r="C474" s="40">
        <f t="shared" si="8"/>
        <v>100</v>
      </c>
    </row>
    <row r="475" spans="1:3">
      <c r="A475" s="39" t="s">
        <v>23</v>
      </c>
      <c r="B475" s="82">
        <v>46341</v>
      </c>
      <c r="C475" s="40">
        <f t="shared" si="8"/>
        <v>100</v>
      </c>
    </row>
    <row r="476" spans="1:3">
      <c r="A476" s="39" t="s">
        <v>23</v>
      </c>
      <c r="B476" s="82">
        <v>46342</v>
      </c>
      <c r="C476" s="40">
        <f t="shared" si="8"/>
        <v>100</v>
      </c>
    </row>
    <row r="477" spans="1:3">
      <c r="A477" s="39" t="s">
        <v>23</v>
      </c>
      <c r="B477" s="82">
        <v>46343</v>
      </c>
      <c r="C477" s="40">
        <f t="shared" si="8"/>
        <v>100</v>
      </c>
    </row>
    <row r="478" spans="1:3">
      <c r="A478" s="39" t="s">
        <v>23</v>
      </c>
      <c r="B478" s="82">
        <v>46344</v>
      </c>
      <c r="C478" s="40">
        <f t="shared" si="8"/>
        <v>100</v>
      </c>
    </row>
    <row r="479" spans="1:3">
      <c r="A479" s="39" t="s">
        <v>23</v>
      </c>
      <c r="B479" s="82">
        <v>46345</v>
      </c>
      <c r="C479" s="40">
        <f t="shared" si="8"/>
        <v>100</v>
      </c>
    </row>
    <row r="480" spans="1:3">
      <c r="A480" s="39" t="s">
        <v>23</v>
      </c>
      <c r="B480" s="82">
        <v>46346</v>
      </c>
      <c r="C480" s="40">
        <f t="shared" si="8"/>
        <v>100</v>
      </c>
    </row>
    <row r="481" spans="1:3">
      <c r="A481" s="39" t="s">
        <v>23</v>
      </c>
      <c r="B481" s="82">
        <v>46347</v>
      </c>
      <c r="C481" s="40">
        <f t="shared" si="8"/>
        <v>100</v>
      </c>
    </row>
    <row r="482" spans="1:3">
      <c r="A482" s="39" t="s">
        <v>23</v>
      </c>
      <c r="B482" s="82">
        <v>46348</v>
      </c>
      <c r="C482" s="40">
        <f t="shared" ref="C482:C545" si="9">IF(D482="",100,MAX(0,(1440-D482)/1440*100))</f>
        <v>100</v>
      </c>
    </row>
    <row r="483" spans="1:3">
      <c r="A483" s="39" t="s">
        <v>23</v>
      </c>
      <c r="B483" s="82">
        <v>46349</v>
      </c>
      <c r="C483" s="40">
        <f t="shared" si="9"/>
        <v>100</v>
      </c>
    </row>
    <row r="484" spans="1:3">
      <c r="A484" s="39" t="s">
        <v>23</v>
      </c>
      <c r="B484" s="82">
        <v>46350</v>
      </c>
      <c r="C484" s="40">
        <f t="shared" si="9"/>
        <v>100</v>
      </c>
    </row>
    <row r="485" spans="1:3">
      <c r="A485" s="39" t="s">
        <v>23</v>
      </c>
      <c r="B485" s="82">
        <v>46351</v>
      </c>
      <c r="C485" s="40">
        <f t="shared" si="9"/>
        <v>100</v>
      </c>
    </row>
    <row r="486" spans="1:3">
      <c r="A486" s="39" t="s">
        <v>23</v>
      </c>
      <c r="B486" s="82">
        <v>46352</v>
      </c>
      <c r="C486" s="40">
        <f t="shared" si="9"/>
        <v>100</v>
      </c>
    </row>
    <row r="487" spans="1:3">
      <c r="A487" s="39" t="s">
        <v>23</v>
      </c>
      <c r="B487" s="82">
        <v>46353</v>
      </c>
      <c r="C487" s="40">
        <f t="shared" si="9"/>
        <v>100</v>
      </c>
    </row>
    <row r="488" spans="1:3">
      <c r="A488" s="39" t="s">
        <v>23</v>
      </c>
      <c r="B488" s="82">
        <v>46354</v>
      </c>
      <c r="C488" s="40">
        <f t="shared" si="9"/>
        <v>100</v>
      </c>
    </row>
    <row r="489" spans="1:3">
      <c r="A489" s="39" t="s">
        <v>23</v>
      </c>
      <c r="B489" s="82">
        <v>46355</v>
      </c>
      <c r="C489" s="40">
        <f t="shared" si="9"/>
        <v>100</v>
      </c>
    </row>
    <row r="490" spans="1:3">
      <c r="A490" s="39" t="s">
        <v>23</v>
      </c>
      <c r="B490" s="82">
        <v>46356</v>
      </c>
      <c r="C490" s="40">
        <f t="shared" si="9"/>
        <v>100</v>
      </c>
    </row>
    <row r="491" spans="1:3">
      <c r="A491" s="39" t="s">
        <v>23</v>
      </c>
      <c r="B491" s="82">
        <v>46357</v>
      </c>
      <c r="C491" s="40">
        <f t="shared" si="9"/>
        <v>100</v>
      </c>
    </row>
    <row r="492" spans="1:3">
      <c r="A492" s="39" t="s">
        <v>23</v>
      </c>
      <c r="B492" s="82">
        <v>46358</v>
      </c>
      <c r="C492" s="40">
        <f t="shared" si="9"/>
        <v>100</v>
      </c>
    </row>
    <row r="493" spans="1:3">
      <c r="A493" s="39" t="s">
        <v>23</v>
      </c>
      <c r="B493" s="82">
        <v>46359</v>
      </c>
      <c r="C493" s="40">
        <f t="shared" si="9"/>
        <v>100</v>
      </c>
    </row>
    <row r="494" spans="1:3">
      <c r="A494" s="39" t="s">
        <v>23</v>
      </c>
      <c r="B494" s="82">
        <v>46360</v>
      </c>
      <c r="C494" s="40">
        <f t="shared" si="9"/>
        <v>100</v>
      </c>
    </row>
    <row r="495" spans="1:3">
      <c r="A495" s="39" t="s">
        <v>23</v>
      </c>
      <c r="B495" s="82">
        <v>46361</v>
      </c>
      <c r="C495" s="40">
        <f t="shared" si="9"/>
        <v>100</v>
      </c>
    </row>
    <row r="496" spans="1:3">
      <c r="A496" s="39" t="s">
        <v>23</v>
      </c>
      <c r="B496" s="82">
        <v>46362</v>
      </c>
      <c r="C496" s="40">
        <f t="shared" si="9"/>
        <v>100</v>
      </c>
    </row>
    <row r="497" spans="1:3">
      <c r="A497" s="39" t="s">
        <v>23</v>
      </c>
      <c r="B497" s="82">
        <v>46363</v>
      </c>
      <c r="C497" s="40">
        <f t="shared" si="9"/>
        <v>100</v>
      </c>
    </row>
    <row r="498" spans="1:3">
      <c r="A498" s="39" t="s">
        <v>23</v>
      </c>
      <c r="B498" s="82">
        <v>46364</v>
      </c>
      <c r="C498" s="40">
        <f t="shared" si="9"/>
        <v>100</v>
      </c>
    </row>
    <row r="499" spans="1:3">
      <c r="A499" s="39" t="s">
        <v>23</v>
      </c>
      <c r="B499" s="82">
        <v>46365</v>
      </c>
      <c r="C499" s="40">
        <f t="shared" si="9"/>
        <v>100</v>
      </c>
    </row>
    <row r="500" spans="1:3">
      <c r="A500" s="39" t="s">
        <v>23</v>
      </c>
      <c r="B500" s="82">
        <v>46366</v>
      </c>
      <c r="C500" s="40">
        <f t="shared" si="9"/>
        <v>100</v>
      </c>
    </row>
    <row r="501" spans="1:3">
      <c r="A501" s="39" t="s">
        <v>23</v>
      </c>
      <c r="B501" s="82">
        <v>46367</v>
      </c>
      <c r="C501" s="40">
        <f t="shared" si="9"/>
        <v>100</v>
      </c>
    </row>
    <row r="502" spans="1:3">
      <c r="A502" s="39" t="s">
        <v>23</v>
      </c>
      <c r="B502" s="82">
        <v>46368</v>
      </c>
      <c r="C502" s="40">
        <f t="shared" si="9"/>
        <v>100</v>
      </c>
    </row>
    <row r="503" spans="1:3">
      <c r="A503" s="39" t="s">
        <v>23</v>
      </c>
      <c r="B503" s="82">
        <v>46369</v>
      </c>
      <c r="C503" s="40">
        <f t="shared" si="9"/>
        <v>100</v>
      </c>
    </row>
    <row r="504" spans="1:3">
      <c r="A504" s="39" t="s">
        <v>23</v>
      </c>
      <c r="B504" s="82">
        <v>46370</v>
      </c>
      <c r="C504" s="40">
        <f t="shared" si="9"/>
        <v>100</v>
      </c>
    </row>
    <row r="505" spans="1:3">
      <c r="A505" s="39" t="s">
        <v>23</v>
      </c>
      <c r="B505" s="82">
        <v>46371</v>
      </c>
      <c r="C505" s="40">
        <f t="shared" si="9"/>
        <v>100</v>
      </c>
    </row>
    <row r="506" spans="1:3">
      <c r="A506" s="39" t="s">
        <v>23</v>
      </c>
      <c r="B506" s="82">
        <v>46372</v>
      </c>
      <c r="C506" s="40">
        <f t="shared" si="9"/>
        <v>100</v>
      </c>
    </row>
    <row r="507" spans="1:3">
      <c r="A507" s="39" t="s">
        <v>23</v>
      </c>
      <c r="B507" s="82">
        <v>46373</v>
      </c>
      <c r="C507" s="40">
        <f t="shared" si="9"/>
        <v>100</v>
      </c>
    </row>
    <row r="508" spans="1:3">
      <c r="A508" s="39" t="s">
        <v>23</v>
      </c>
      <c r="B508" s="82">
        <v>46374</v>
      </c>
      <c r="C508" s="40">
        <f t="shared" si="9"/>
        <v>100</v>
      </c>
    </row>
    <row r="509" spans="1:3">
      <c r="A509" s="39" t="s">
        <v>23</v>
      </c>
      <c r="B509" s="82">
        <v>46375</v>
      </c>
      <c r="C509" s="40">
        <f t="shared" si="9"/>
        <v>100</v>
      </c>
    </row>
    <row r="510" spans="1:3">
      <c r="A510" s="39" t="s">
        <v>23</v>
      </c>
      <c r="B510" s="82">
        <v>46376</v>
      </c>
      <c r="C510" s="40">
        <f t="shared" si="9"/>
        <v>100</v>
      </c>
    </row>
    <row r="511" spans="1:3">
      <c r="A511" s="39" t="s">
        <v>23</v>
      </c>
      <c r="B511" s="82">
        <v>46377</v>
      </c>
      <c r="C511" s="40">
        <f t="shared" si="9"/>
        <v>100</v>
      </c>
    </row>
    <row r="512" spans="1:3">
      <c r="A512" s="39" t="s">
        <v>23</v>
      </c>
      <c r="B512" s="82">
        <v>46378</v>
      </c>
      <c r="C512" s="40">
        <f t="shared" si="9"/>
        <v>100</v>
      </c>
    </row>
    <row r="513" spans="1:3">
      <c r="A513" s="39" t="s">
        <v>23</v>
      </c>
      <c r="B513" s="82">
        <v>46379</v>
      </c>
      <c r="C513" s="40">
        <f t="shared" si="9"/>
        <v>100</v>
      </c>
    </row>
    <row r="514" spans="1:3">
      <c r="A514" s="39" t="s">
        <v>23</v>
      </c>
      <c r="B514" s="82">
        <v>46380</v>
      </c>
      <c r="C514" s="40">
        <f t="shared" si="9"/>
        <v>100</v>
      </c>
    </row>
    <row r="515" spans="1:3">
      <c r="A515" s="39" t="s">
        <v>23</v>
      </c>
      <c r="B515" s="82">
        <v>46381</v>
      </c>
      <c r="C515" s="40">
        <f t="shared" si="9"/>
        <v>100</v>
      </c>
    </row>
    <row r="516" spans="1:3">
      <c r="A516" s="39" t="s">
        <v>23</v>
      </c>
      <c r="B516" s="82">
        <v>46382</v>
      </c>
      <c r="C516" s="40">
        <f t="shared" si="9"/>
        <v>100</v>
      </c>
    </row>
    <row r="517" spans="1:3">
      <c r="A517" s="39" t="s">
        <v>23</v>
      </c>
      <c r="B517" s="82">
        <v>46383</v>
      </c>
      <c r="C517" s="40">
        <f t="shared" si="9"/>
        <v>100</v>
      </c>
    </row>
    <row r="518" spans="1:3">
      <c r="A518" s="39" t="s">
        <v>23</v>
      </c>
      <c r="B518" s="82">
        <v>46384</v>
      </c>
      <c r="C518" s="40">
        <f t="shared" si="9"/>
        <v>100</v>
      </c>
    </row>
    <row r="519" spans="1:3">
      <c r="A519" s="39" t="s">
        <v>23</v>
      </c>
      <c r="B519" s="82">
        <v>46385</v>
      </c>
      <c r="C519" s="40">
        <f t="shared" si="9"/>
        <v>100</v>
      </c>
    </row>
    <row r="520" spans="1:3">
      <c r="A520" s="39" t="s">
        <v>23</v>
      </c>
      <c r="B520" s="82">
        <v>46386</v>
      </c>
      <c r="C520" s="40">
        <f t="shared" si="9"/>
        <v>100</v>
      </c>
    </row>
    <row r="521" spans="1:3">
      <c r="A521" s="39" t="s">
        <v>23</v>
      </c>
      <c r="B521" s="82">
        <v>46387</v>
      </c>
      <c r="C521" s="40">
        <f t="shared" si="9"/>
        <v>100</v>
      </c>
    </row>
    <row r="522" spans="1:3">
      <c r="A522" s="41" t="s">
        <v>24</v>
      </c>
      <c r="B522" s="82">
        <v>46296</v>
      </c>
      <c r="C522" s="40">
        <f t="shared" si="9"/>
        <v>100</v>
      </c>
    </row>
    <row r="523" spans="1:3">
      <c r="A523" s="41" t="s">
        <v>24</v>
      </c>
      <c r="B523" s="82">
        <v>46297</v>
      </c>
      <c r="C523" s="40">
        <f t="shared" si="9"/>
        <v>100</v>
      </c>
    </row>
    <row r="524" spans="1:3">
      <c r="A524" s="41" t="s">
        <v>24</v>
      </c>
      <c r="B524" s="82">
        <v>46298</v>
      </c>
      <c r="C524" s="40">
        <f t="shared" si="9"/>
        <v>100</v>
      </c>
    </row>
    <row r="525" spans="1:3">
      <c r="A525" s="41" t="s">
        <v>24</v>
      </c>
      <c r="B525" s="82">
        <v>46299</v>
      </c>
      <c r="C525" s="40">
        <f t="shared" si="9"/>
        <v>100</v>
      </c>
    </row>
    <row r="526" spans="1:3">
      <c r="A526" s="41" t="s">
        <v>24</v>
      </c>
      <c r="B526" s="82">
        <v>46300</v>
      </c>
      <c r="C526" s="40">
        <f t="shared" si="9"/>
        <v>100</v>
      </c>
    </row>
    <row r="527" spans="1:3">
      <c r="A527" s="41" t="s">
        <v>24</v>
      </c>
      <c r="B527" s="82">
        <v>46301</v>
      </c>
      <c r="C527" s="40">
        <f t="shared" si="9"/>
        <v>100</v>
      </c>
    </row>
    <row r="528" spans="1:3">
      <c r="A528" s="41" t="s">
        <v>24</v>
      </c>
      <c r="B528" s="82">
        <v>46302</v>
      </c>
      <c r="C528" s="40">
        <f t="shared" si="9"/>
        <v>100</v>
      </c>
    </row>
    <row r="529" spans="1:3">
      <c r="A529" s="41" t="s">
        <v>24</v>
      </c>
      <c r="B529" s="82">
        <v>46303</v>
      </c>
      <c r="C529" s="40">
        <f t="shared" si="9"/>
        <v>100</v>
      </c>
    </row>
    <row r="530" spans="1:3">
      <c r="A530" s="41" t="s">
        <v>24</v>
      </c>
      <c r="B530" s="82">
        <v>46304</v>
      </c>
      <c r="C530" s="40">
        <f t="shared" si="9"/>
        <v>100</v>
      </c>
    </row>
    <row r="531" spans="1:3">
      <c r="A531" s="41" t="s">
        <v>24</v>
      </c>
      <c r="B531" s="82">
        <v>46305</v>
      </c>
      <c r="C531" s="40">
        <f t="shared" si="9"/>
        <v>100</v>
      </c>
    </row>
    <row r="532" spans="1:3">
      <c r="A532" s="41" t="s">
        <v>24</v>
      </c>
      <c r="B532" s="82">
        <v>46306</v>
      </c>
      <c r="C532" s="40">
        <f t="shared" si="9"/>
        <v>100</v>
      </c>
    </row>
    <row r="533" spans="1:3">
      <c r="A533" s="41" t="s">
        <v>24</v>
      </c>
      <c r="B533" s="82">
        <v>46307</v>
      </c>
      <c r="C533" s="40">
        <f t="shared" si="9"/>
        <v>100</v>
      </c>
    </row>
    <row r="534" spans="1:3">
      <c r="A534" s="41" t="s">
        <v>24</v>
      </c>
      <c r="B534" s="82">
        <v>46308</v>
      </c>
      <c r="C534" s="40">
        <f t="shared" si="9"/>
        <v>100</v>
      </c>
    </row>
    <row r="535" spans="1:3">
      <c r="A535" s="41" t="s">
        <v>24</v>
      </c>
      <c r="B535" s="82">
        <v>46309</v>
      </c>
      <c r="C535" s="40">
        <f t="shared" si="9"/>
        <v>100</v>
      </c>
    </row>
    <row r="536" spans="1:3">
      <c r="A536" s="41" t="s">
        <v>24</v>
      </c>
      <c r="B536" s="82">
        <v>46310</v>
      </c>
      <c r="C536" s="40">
        <f t="shared" si="9"/>
        <v>100</v>
      </c>
    </row>
    <row r="537" spans="1:3">
      <c r="A537" s="41" t="s">
        <v>24</v>
      </c>
      <c r="B537" s="82">
        <v>46311</v>
      </c>
      <c r="C537" s="40">
        <f t="shared" si="9"/>
        <v>100</v>
      </c>
    </row>
    <row r="538" spans="1:3">
      <c r="A538" s="41" t="s">
        <v>24</v>
      </c>
      <c r="B538" s="82">
        <v>46312</v>
      </c>
      <c r="C538" s="40">
        <f t="shared" si="9"/>
        <v>100</v>
      </c>
    </row>
    <row r="539" spans="1:3">
      <c r="A539" s="41" t="s">
        <v>24</v>
      </c>
      <c r="B539" s="82">
        <v>46313</v>
      </c>
      <c r="C539" s="40">
        <f t="shared" si="9"/>
        <v>100</v>
      </c>
    </row>
    <row r="540" spans="1:3">
      <c r="A540" s="41" t="s">
        <v>24</v>
      </c>
      <c r="B540" s="82">
        <v>46314</v>
      </c>
      <c r="C540" s="40">
        <f t="shared" si="9"/>
        <v>100</v>
      </c>
    </row>
    <row r="541" spans="1:3">
      <c r="A541" s="41" t="s">
        <v>24</v>
      </c>
      <c r="B541" s="82">
        <v>46315</v>
      </c>
      <c r="C541" s="40">
        <f t="shared" si="9"/>
        <v>100</v>
      </c>
    </row>
    <row r="542" spans="1:3">
      <c r="A542" s="41" t="s">
        <v>24</v>
      </c>
      <c r="B542" s="82">
        <v>46316</v>
      </c>
      <c r="C542" s="40">
        <f t="shared" si="9"/>
        <v>100</v>
      </c>
    </row>
    <row r="543" spans="1:3">
      <c r="A543" s="41" t="s">
        <v>24</v>
      </c>
      <c r="B543" s="82">
        <v>46317</v>
      </c>
      <c r="C543" s="40">
        <f t="shared" si="9"/>
        <v>100</v>
      </c>
    </row>
    <row r="544" spans="1:3">
      <c r="A544" s="41" t="s">
        <v>24</v>
      </c>
      <c r="B544" s="82">
        <v>46318</v>
      </c>
      <c r="C544" s="40">
        <f t="shared" si="9"/>
        <v>100</v>
      </c>
    </row>
    <row r="545" spans="1:3">
      <c r="A545" s="41" t="s">
        <v>24</v>
      </c>
      <c r="B545" s="82">
        <v>46319</v>
      </c>
      <c r="C545" s="40">
        <f t="shared" si="9"/>
        <v>100</v>
      </c>
    </row>
    <row r="546" spans="1:3">
      <c r="A546" s="41" t="s">
        <v>24</v>
      </c>
      <c r="B546" s="82">
        <v>46320</v>
      </c>
      <c r="C546" s="40">
        <f t="shared" ref="C546:C609" si="10">IF(D546="",100,MAX(0,(1440-D546)/1440*100))</f>
        <v>100</v>
      </c>
    </row>
    <row r="547" spans="1:3">
      <c r="A547" s="41" t="s">
        <v>24</v>
      </c>
      <c r="B547" s="82">
        <v>46321</v>
      </c>
      <c r="C547" s="40">
        <f t="shared" si="10"/>
        <v>100</v>
      </c>
    </row>
    <row r="548" spans="1:3">
      <c r="A548" s="41" t="s">
        <v>24</v>
      </c>
      <c r="B548" s="82">
        <v>46322</v>
      </c>
      <c r="C548" s="40">
        <f t="shared" si="10"/>
        <v>100</v>
      </c>
    </row>
    <row r="549" spans="1:3">
      <c r="A549" s="41" t="s">
        <v>24</v>
      </c>
      <c r="B549" s="82">
        <v>46323</v>
      </c>
      <c r="C549" s="40">
        <f t="shared" si="10"/>
        <v>100</v>
      </c>
    </row>
    <row r="550" spans="1:3">
      <c r="A550" s="41" t="s">
        <v>24</v>
      </c>
      <c r="B550" s="82">
        <v>46324</v>
      </c>
      <c r="C550" s="40">
        <f t="shared" si="10"/>
        <v>100</v>
      </c>
    </row>
    <row r="551" spans="1:3">
      <c r="A551" s="41" t="s">
        <v>24</v>
      </c>
      <c r="B551" s="82">
        <v>46325</v>
      </c>
      <c r="C551" s="40">
        <f t="shared" si="10"/>
        <v>100</v>
      </c>
    </row>
    <row r="552" spans="1:3">
      <c r="A552" s="41" t="s">
        <v>24</v>
      </c>
      <c r="B552" s="82">
        <v>46326</v>
      </c>
      <c r="C552" s="40">
        <f t="shared" si="10"/>
        <v>100</v>
      </c>
    </row>
    <row r="553" spans="1:3">
      <c r="A553" s="41" t="s">
        <v>24</v>
      </c>
      <c r="B553" s="82">
        <v>46327</v>
      </c>
      <c r="C553" s="40">
        <f t="shared" si="10"/>
        <v>100</v>
      </c>
    </row>
    <row r="554" spans="1:3">
      <c r="A554" s="41" t="s">
        <v>24</v>
      </c>
      <c r="B554" s="82">
        <v>46328</v>
      </c>
      <c r="C554" s="40">
        <f t="shared" si="10"/>
        <v>100</v>
      </c>
    </row>
    <row r="555" spans="1:3">
      <c r="A555" s="41" t="s">
        <v>24</v>
      </c>
      <c r="B555" s="82">
        <v>46329</v>
      </c>
      <c r="C555" s="40">
        <f t="shared" si="10"/>
        <v>100</v>
      </c>
    </row>
    <row r="556" spans="1:3">
      <c r="A556" s="41" t="s">
        <v>24</v>
      </c>
      <c r="B556" s="82">
        <v>46330</v>
      </c>
      <c r="C556" s="40">
        <f t="shared" si="10"/>
        <v>100</v>
      </c>
    </row>
    <row r="557" spans="1:3">
      <c r="A557" s="41" t="s">
        <v>24</v>
      </c>
      <c r="B557" s="82">
        <v>46331</v>
      </c>
      <c r="C557" s="40">
        <f t="shared" si="10"/>
        <v>100</v>
      </c>
    </row>
    <row r="558" spans="1:3">
      <c r="A558" s="41" t="s">
        <v>24</v>
      </c>
      <c r="B558" s="82">
        <v>46332</v>
      </c>
      <c r="C558" s="40">
        <f t="shared" si="10"/>
        <v>100</v>
      </c>
    </row>
    <row r="559" spans="1:3">
      <c r="A559" s="41" t="s">
        <v>24</v>
      </c>
      <c r="B559" s="82">
        <v>46333</v>
      </c>
      <c r="C559" s="40">
        <f t="shared" si="10"/>
        <v>100</v>
      </c>
    </row>
    <row r="560" spans="1:3">
      <c r="A560" s="41" t="s">
        <v>24</v>
      </c>
      <c r="B560" s="82">
        <v>46334</v>
      </c>
      <c r="C560" s="40">
        <f t="shared" si="10"/>
        <v>100</v>
      </c>
    </row>
    <row r="561" spans="1:3">
      <c r="A561" s="41" t="s">
        <v>24</v>
      </c>
      <c r="B561" s="82">
        <v>46335</v>
      </c>
      <c r="C561" s="40">
        <f t="shared" si="10"/>
        <v>100</v>
      </c>
    </row>
    <row r="562" spans="1:3">
      <c r="A562" s="41" t="s">
        <v>24</v>
      </c>
      <c r="B562" s="82">
        <v>46336</v>
      </c>
      <c r="C562" s="40">
        <f t="shared" si="10"/>
        <v>100</v>
      </c>
    </row>
    <row r="563" spans="1:3">
      <c r="A563" s="41" t="s">
        <v>24</v>
      </c>
      <c r="B563" s="82">
        <v>46337</v>
      </c>
      <c r="C563" s="40">
        <f t="shared" si="10"/>
        <v>100</v>
      </c>
    </row>
    <row r="564" spans="1:3">
      <c r="A564" s="41" t="s">
        <v>24</v>
      </c>
      <c r="B564" s="82">
        <v>46338</v>
      </c>
      <c r="C564" s="40">
        <f t="shared" si="10"/>
        <v>100</v>
      </c>
    </row>
    <row r="565" spans="1:3">
      <c r="A565" s="41" t="s">
        <v>24</v>
      </c>
      <c r="B565" s="82">
        <v>46339</v>
      </c>
      <c r="C565" s="40">
        <f t="shared" si="10"/>
        <v>100</v>
      </c>
    </row>
    <row r="566" spans="1:3">
      <c r="A566" s="41" t="s">
        <v>24</v>
      </c>
      <c r="B566" s="82">
        <v>46340</v>
      </c>
      <c r="C566" s="40">
        <f t="shared" si="10"/>
        <v>100</v>
      </c>
    </row>
    <row r="567" spans="1:3">
      <c r="A567" s="41" t="s">
        <v>24</v>
      </c>
      <c r="B567" s="82">
        <v>46341</v>
      </c>
      <c r="C567" s="40">
        <f t="shared" si="10"/>
        <v>100</v>
      </c>
    </row>
    <row r="568" spans="1:3">
      <c r="A568" s="41" t="s">
        <v>24</v>
      </c>
      <c r="B568" s="82">
        <v>46342</v>
      </c>
      <c r="C568" s="40">
        <f t="shared" si="10"/>
        <v>100</v>
      </c>
    </row>
    <row r="569" spans="1:3">
      <c r="A569" s="41" t="s">
        <v>24</v>
      </c>
      <c r="B569" s="82">
        <v>46343</v>
      </c>
      <c r="C569" s="40">
        <f t="shared" si="10"/>
        <v>100</v>
      </c>
    </row>
    <row r="570" spans="1:3">
      <c r="A570" s="41" t="s">
        <v>24</v>
      </c>
      <c r="B570" s="82">
        <v>46344</v>
      </c>
      <c r="C570" s="40">
        <f t="shared" si="10"/>
        <v>100</v>
      </c>
    </row>
    <row r="571" spans="1:3">
      <c r="A571" s="41" t="s">
        <v>24</v>
      </c>
      <c r="B571" s="82">
        <v>46345</v>
      </c>
      <c r="C571" s="40">
        <f t="shared" si="10"/>
        <v>100</v>
      </c>
    </row>
    <row r="572" spans="1:3">
      <c r="A572" s="41" t="s">
        <v>24</v>
      </c>
      <c r="B572" s="82">
        <v>46346</v>
      </c>
      <c r="C572" s="40">
        <f t="shared" si="10"/>
        <v>100</v>
      </c>
    </row>
    <row r="573" spans="1:3">
      <c r="A573" s="41" t="s">
        <v>24</v>
      </c>
      <c r="B573" s="82">
        <v>46347</v>
      </c>
      <c r="C573" s="40">
        <f t="shared" si="10"/>
        <v>100</v>
      </c>
    </row>
    <row r="574" spans="1:3">
      <c r="A574" s="41" t="s">
        <v>24</v>
      </c>
      <c r="B574" s="82">
        <v>46348</v>
      </c>
      <c r="C574" s="40">
        <f t="shared" si="10"/>
        <v>100</v>
      </c>
    </row>
    <row r="575" spans="1:3">
      <c r="A575" s="41" t="s">
        <v>24</v>
      </c>
      <c r="B575" s="82">
        <v>46349</v>
      </c>
      <c r="C575" s="40">
        <f t="shared" si="10"/>
        <v>100</v>
      </c>
    </row>
    <row r="576" spans="1:3">
      <c r="A576" s="41" t="s">
        <v>24</v>
      </c>
      <c r="B576" s="82">
        <v>46350</v>
      </c>
      <c r="C576" s="40">
        <f t="shared" si="10"/>
        <v>100</v>
      </c>
    </row>
    <row r="577" spans="1:3">
      <c r="A577" s="41" t="s">
        <v>24</v>
      </c>
      <c r="B577" s="82">
        <v>46351</v>
      </c>
      <c r="C577" s="40">
        <f t="shared" si="10"/>
        <v>100</v>
      </c>
    </row>
    <row r="578" spans="1:3">
      <c r="A578" s="41" t="s">
        <v>24</v>
      </c>
      <c r="B578" s="82">
        <v>46352</v>
      </c>
      <c r="C578" s="40">
        <f t="shared" si="10"/>
        <v>100</v>
      </c>
    </row>
    <row r="579" spans="1:3">
      <c r="A579" s="41" t="s">
        <v>24</v>
      </c>
      <c r="B579" s="82">
        <v>46353</v>
      </c>
      <c r="C579" s="40">
        <f t="shared" si="10"/>
        <v>100</v>
      </c>
    </row>
    <row r="580" spans="1:3">
      <c r="A580" s="41" t="s">
        <v>24</v>
      </c>
      <c r="B580" s="82">
        <v>46354</v>
      </c>
      <c r="C580" s="40">
        <f t="shared" si="10"/>
        <v>100</v>
      </c>
    </row>
    <row r="581" spans="1:3">
      <c r="A581" s="41" t="s">
        <v>24</v>
      </c>
      <c r="B581" s="82">
        <v>46355</v>
      </c>
      <c r="C581" s="40">
        <f t="shared" si="10"/>
        <v>100</v>
      </c>
    </row>
    <row r="582" spans="1:3">
      <c r="A582" s="41" t="s">
        <v>24</v>
      </c>
      <c r="B582" s="82">
        <v>46356</v>
      </c>
      <c r="C582" s="40">
        <f t="shared" si="10"/>
        <v>100</v>
      </c>
    </row>
    <row r="583" spans="1:3">
      <c r="A583" s="41" t="s">
        <v>24</v>
      </c>
      <c r="B583" s="82">
        <v>46357</v>
      </c>
      <c r="C583" s="40">
        <f t="shared" si="10"/>
        <v>100</v>
      </c>
    </row>
    <row r="584" spans="1:3">
      <c r="A584" s="41" t="s">
        <v>24</v>
      </c>
      <c r="B584" s="82">
        <v>46358</v>
      </c>
      <c r="C584" s="40">
        <f t="shared" si="10"/>
        <v>100</v>
      </c>
    </row>
    <row r="585" spans="1:3">
      <c r="A585" s="41" t="s">
        <v>24</v>
      </c>
      <c r="B585" s="82">
        <v>46359</v>
      </c>
      <c r="C585" s="40">
        <f t="shared" si="10"/>
        <v>100</v>
      </c>
    </row>
    <row r="586" spans="1:3">
      <c r="A586" s="41" t="s">
        <v>24</v>
      </c>
      <c r="B586" s="82">
        <v>46360</v>
      </c>
      <c r="C586" s="40">
        <f t="shared" si="10"/>
        <v>100</v>
      </c>
    </row>
    <row r="587" spans="1:3">
      <c r="A587" s="41" t="s">
        <v>24</v>
      </c>
      <c r="B587" s="82">
        <v>46361</v>
      </c>
      <c r="C587" s="40">
        <f t="shared" si="10"/>
        <v>100</v>
      </c>
    </row>
    <row r="588" spans="1:3">
      <c r="A588" s="41" t="s">
        <v>24</v>
      </c>
      <c r="B588" s="82">
        <v>46362</v>
      </c>
      <c r="C588" s="40">
        <f t="shared" si="10"/>
        <v>100</v>
      </c>
    </row>
    <row r="589" spans="1:3">
      <c r="A589" s="41" t="s">
        <v>24</v>
      </c>
      <c r="B589" s="82">
        <v>46363</v>
      </c>
      <c r="C589" s="40">
        <f t="shared" si="10"/>
        <v>100</v>
      </c>
    </row>
    <row r="590" spans="1:3">
      <c r="A590" s="41" t="s">
        <v>24</v>
      </c>
      <c r="B590" s="82">
        <v>46364</v>
      </c>
      <c r="C590" s="40">
        <f t="shared" si="10"/>
        <v>100</v>
      </c>
    </row>
    <row r="591" spans="1:3">
      <c r="A591" s="41" t="s">
        <v>24</v>
      </c>
      <c r="B591" s="82">
        <v>46365</v>
      </c>
      <c r="C591" s="40">
        <f t="shared" si="10"/>
        <v>100</v>
      </c>
    </row>
    <row r="592" spans="1:3">
      <c r="A592" s="41" t="s">
        <v>24</v>
      </c>
      <c r="B592" s="82">
        <v>46366</v>
      </c>
      <c r="C592" s="40">
        <f t="shared" si="10"/>
        <v>100</v>
      </c>
    </row>
    <row r="593" spans="1:3">
      <c r="A593" s="41" t="s">
        <v>24</v>
      </c>
      <c r="B593" s="82">
        <v>46367</v>
      </c>
      <c r="C593" s="40">
        <f t="shared" si="10"/>
        <v>100</v>
      </c>
    </row>
    <row r="594" spans="1:3">
      <c r="A594" s="41" t="s">
        <v>24</v>
      </c>
      <c r="B594" s="82">
        <v>46368</v>
      </c>
      <c r="C594" s="40">
        <f t="shared" si="10"/>
        <v>100</v>
      </c>
    </row>
    <row r="595" spans="1:3">
      <c r="A595" s="41" t="s">
        <v>24</v>
      </c>
      <c r="B595" s="82">
        <v>46369</v>
      </c>
      <c r="C595" s="40">
        <f t="shared" si="10"/>
        <v>100</v>
      </c>
    </row>
    <row r="596" spans="1:3">
      <c r="A596" s="41" t="s">
        <v>24</v>
      </c>
      <c r="B596" s="82">
        <v>46370</v>
      </c>
      <c r="C596" s="40">
        <f t="shared" si="10"/>
        <v>100</v>
      </c>
    </row>
    <row r="597" spans="1:3">
      <c r="A597" s="41" t="s">
        <v>24</v>
      </c>
      <c r="B597" s="82">
        <v>46371</v>
      </c>
      <c r="C597" s="40">
        <f t="shared" si="10"/>
        <v>100</v>
      </c>
    </row>
    <row r="598" spans="1:3">
      <c r="A598" s="41" t="s">
        <v>24</v>
      </c>
      <c r="B598" s="82">
        <v>46372</v>
      </c>
      <c r="C598" s="40">
        <f t="shared" si="10"/>
        <v>100</v>
      </c>
    </row>
    <row r="599" spans="1:3">
      <c r="A599" s="41" t="s">
        <v>24</v>
      </c>
      <c r="B599" s="82">
        <v>46373</v>
      </c>
      <c r="C599" s="40">
        <f t="shared" si="10"/>
        <v>100</v>
      </c>
    </row>
    <row r="600" spans="1:3">
      <c r="A600" s="41" t="s">
        <v>24</v>
      </c>
      <c r="B600" s="82">
        <v>46374</v>
      </c>
      <c r="C600" s="40">
        <f t="shared" si="10"/>
        <v>100</v>
      </c>
    </row>
    <row r="601" spans="1:3">
      <c r="A601" s="41" t="s">
        <v>24</v>
      </c>
      <c r="B601" s="82">
        <v>46375</v>
      </c>
      <c r="C601" s="40">
        <f t="shared" si="10"/>
        <v>100</v>
      </c>
    </row>
    <row r="602" spans="1:3">
      <c r="A602" s="41" t="s">
        <v>24</v>
      </c>
      <c r="B602" s="82">
        <v>46376</v>
      </c>
      <c r="C602" s="40">
        <f t="shared" si="10"/>
        <v>100</v>
      </c>
    </row>
    <row r="603" spans="1:3">
      <c r="A603" s="41" t="s">
        <v>24</v>
      </c>
      <c r="B603" s="82">
        <v>46377</v>
      </c>
      <c r="C603" s="40">
        <f t="shared" si="10"/>
        <v>100</v>
      </c>
    </row>
    <row r="604" spans="1:3">
      <c r="A604" s="41" t="s">
        <v>24</v>
      </c>
      <c r="B604" s="82">
        <v>46378</v>
      </c>
      <c r="C604" s="40">
        <f t="shared" si="10"/>
        <v>100</v>
      </c>
    </row>
    <row r="605" spans="1:3">
      <c r="A605" s="41" t="s">
        <v>24</v>
      </c>
      <c r="B605" s="82">
        <v>46379</v>
      </c>
      <c r="C605" s="40">
        <f t="shared" si="10"/>
        <v>100</v>
      </c>
    </row>
    <row r="606" spans="1:3">
      <c r="A606" s="41" t="s">
        <v>24</v>
      </c>
      <c r="B606" s="82">
        <v>46380</v>
      </c>
      <c r="C606" s="40">
        <f t="shared" si="10"/>
        <v>100</v>
      </c>
    </row>
    <row r="607" spans="1:3">
      <c r="A607" s="41" t="s">
        <v>24</v>
      </c>
      <c r="B607" s="82">
        <v>46381</v>
      </c>
      <c r="C607" s="40">
        <f t="shared" si="10"/>
        <v>100</v>
      </c>
    </row>
    <row r="608" spans="1:3">
      <c r="A608" s="41" t="s">
        <v>24</v>
      </c>
      <c r="B608" s="82">
        <v>46382</v>
      </c>
      <c r="C608" s="40">
        <f t="shared" si="10"/>
        <v>100</v>
      </c>
    </row>
    <row r="609" spans="1:3">
      <c r="A609" s="41" t="s">
        <v>24</v>
      </c>
      <c r="B609" s="82">
        <v>46383</v>
      </c>
      <c r="C609" s="40">
        <f t="shared" si="10"/>
        <v>100</v>
      </c>
    </row>
    <row r="610" spans="1:3">
      <c r="A610" s="41" t="s">
        <v>24</v>
      </c>
      <c r="B610" s="82">
        <v>46384</v>
      </c>
      <c r="C610" s="40">
        <f t="shared" ref="C610:C673" si="11">IF(D610="",100,MAX(0,(1440-D610)/1440*100))</f>
        <v>100</v>
      </c>
    </row>
    <row r="611" spans="1:3">
      <c r="A611" s="41" t="s">
        <v>24</v>
      </c>
      <c r="B611" s="82">
        <v>46385</v>
      </c>
      <c r="C611" s="40">
        <f t="shared" si="11"/>
        <v>100</v>
      </c>
    </row>
    <row r="612" spans="1:3">
      <c r="A612" s="41" t="s">
        <v>24</v>
      </c>
      <c r="B612" s="82">
        <v>46386</v>
      </c>
      <c r="C612" s="40">
        <f t="shared" si="11"/>
        <v>100</v>
      </c>
    </row>
    <row r="613" spans="1:3">
      <c r="A613" s="41" t="s">
        <v>24</v>
      </c>
      <c r="B613" s="82">
        <v>46387</v>
      </c>
      <c r="C613" s="40">
        <f t="shared" si="11"/>
        <v>100</v>
      </c>
    </row>
    <row r="614" spans="1:3">
      <c r="A614" s="41" t="s">
        <v>52</v>
      </c>
      <c r="B614" s="82">
        <v>46296</v>
      </c>
      <c r="C614" s="40">
        <f t="shared" si="11"/>
        <v>100</v>
      </c>
    </row>
    <row r="615" spans="1:3">
      <c r="A615" s="41" t="s">
        <v>52</v>
      </c>
      <c r="B615" s="82">
        <v>46297</v>
      </c>
      <c r="C615" s="40">
        <f t="shared" si="11"/>
        <v>100</v>
      </c>
    </row>
    <row r="616" spans="1:3">
      <c r="A616" s="41" t="s">
        <v>52</v>
      </c>
      <c r="B616" s="82">
        <v>46298</v>
      </c>
      <c r="C616" s="40">
        <f t="shared" si="11"/>
        <v>100</v>
      </c>
    </row>
    <row r="617" spans="1:3">
      <c r="A617" s="41" t="s">
        <v>52</v>
      </c>
      <c r="B617" s="82">
        <v>46299</v>
      </c>
      <c r="C617" s="40">
        <f t="shared" si="11"/>
        <v>100</v>
      </c>
    </row>
    <row r="618" spans="1:3">
      <c r="A618" s="41" t="s">
        <v>52</v>
      </c>
      <c r="B618" s="82">
        <v>46300</v>
      </c>
      <c r="C618" s="40">
        <f t="shared" si="11"/>
        <v>100</v>
      </c>
    </row>
    <row r="619" spans="1:3">
      <c r="A619" s="41" t="s">
        <v>52</v>
      </c>
      <c r="B619" s="82">
        <v>46301</v>
      </c>
      <c r="C619" s="40">
        <f t="shared" si="11"/>
        <v>100</v>
      </c>
    </row>
    <row r="620" spans="1:3">
      <c r="A620" s="41" t="s">
        <v>52</v>
      </c>
      <c r="B620" s="82">
        <v>46302</v>
      </c>
      <c r="C620" s="40">
        <f t="shared" si="11"/>
        <v>100</v>
      </c>
    </row>
    <row r="621" spans="1:3">
      <c r="A621" s="41" t="s">
        <v>52</v>
      </c>
      <c r="B621" s="82">
        <v>46303</v>
      </c>
      <c r="C621" s="40">
        <f t="shared" si="11"/>
        <v>100</v>
      </c>
    </row>
    <row r="622" spans="1:3">
      <c r="A622" s="41" t="s">
        <v>52</v>
      </c>
      <c r="B622" s="82">
        <v>46304</v>
      </c>
      <c r="C622" s="40">
        <f t="shared" si="11"/>
        <v>100</v>
      </c>
    </row>
    <row r="623" spans="1:3">
      <c r="A623" s="41" t="s">
        <v>52</v>
      </c>
      <c r="B623" s="82">
        <v>46305</v>
      </c>
      <c r="C623" s="40">
        <f t="shared" si="11"/>
        <v>100</v>
      </c>
    </row>
    <row r="624" spans="1:3">
      <c r="A624" s="41" t="s">
        <v>52</v>
      </c>
      <c r="B624" s="82">
        <v>46306</v>
      </c>
      <c r="C624" s="40">
        <f t="shared" si="11"/>
        <v>100</v>
      </c>
    </row>
    <row r="625" spans="1:3">
      <c r="A625" s="41" t="s">
        <v>52</v>
      </c>
      <c r="B625" s="82">
        <v>46307</v>
      </c>
      <c r="C625" s="40">
        <f t="shared" si="11"/>
        <v>100</v>
      </c>
    </row>
    <row r="626" spans="1:3">
      <c r="A626" s="41" t="s">
        <v>52</v>
      </c>
      <c r="B626" s="82">
        <v>46308</v>
      </c>
      <c r="C626" s="40">
        <f t="shared" si="11"/>
        <v>100</v>
      </c>
    </row>
    <row r="627" spans="1:3">
      <c r="A627" s="41" t="s">
        <v>52</v>
      </c>
      <c r="B627" s="82">
        <v>46309</v>
      </c>
      <c r="C627" s="40">
        <f t="shared" si="11"/>
        <v>100</v>
      </c>
    </row>
    <row r="628" spans="1:3">
      <c r="A628" s="41" t="s">
        <v>52</v>
      </c>
      <c r="B628" s="82">
        <v>46310</v>
      </c>
      <c r="C628" s="40">
        <f t="shared" si="11"/>
        <v>100</v>
      </c>
    </row>
    <row r="629" spans="1:3">
      <c r="A629" s="41" t="s">
        <v>52</v>
      </c>
      <c r="B629" s="82">
        <v>46311</v>
      </c>
      <c r="C629" s="40">
        <f t="shared" si="11"/>
        <v>100</v>
      </c>
    </row>
    <row r="630" spans="1:3">
      <c r="A630" s="41" t="s">
        <v>52</v>
      </c>
      <c r="B630" s="82">
        <v>46312</v>
      </c>
      <c r="C630" s="40">
        <f t="shared" si="11"/>
        <v>100</v>
      </c>
    </row>
    <row r="631" spans="1:3">
      <c r="A631" s="41" t="s">
        <v>52</v>
      </c>
      <c r="B631" s="82">
        <v>46313</v>
      </c>
      <c r="C631" s="40">
        <f t="shared" si="11"/>
        <v>100</v>
      </c>
    </row>
    <row r="632" spans="1:3">
      <c r="A632" s="41" t="s">
        <v>52</v>
      </c>
      <c r="B632" s="82">
        <v>46314</v>
      </c>
      <c r="C632" s="40">
        <f t="shared" si="11"/>
        <v>100</v>
      </c>
    </row>
    <row r="633" spans="1:3">
      <c r="A633" s="41" t="s">
        <v>52</v>
      </c>
      <c r="B633" s="82">
        <v>46315</v>
      </c>
      <c r="C633" s="40">
        <f t="shared" si="11"/>
        <v>100</v>
      </c>
    </row>
    <row r="634" spans="1:3">
      <c r="A634" s="41" t="s">
        <v>52</v>
      </c>
      <c r="B634" s="82">
        <v>46316</v>
      </c>
      <c r="C634" s="40">
        <f t="shared" si="11"/>
        <v>100</v>
      </c>
    </row>
    <row r="635" spans="1:3">
      <c r="A635" s="41" t="s">
        <v>52</v>
      </c>
      <c r="B635" s="82">
        <v>46317</v>
      </c>
      <c r="C635" s="40">
        <f t="shared" si="11"/>
        <v>100</v>
      </c>
    </row>
    <row r="636" spans="1:3">
      <c r="A636" s="41" t="s">
        <v>52</v>
      </c>
      <c r="B636" s="82">
        <v>46318</v>
      </c>
      <c r="C636" s="40">
        <f t="shared" si="11"/>
        <v>100</v>
      </c>
    </row>
    <row r="637" spans="1:3">
      <c r="A637" s="41" t="s">
        <v>52</v>
      </c>
      <c r="B637" s="82">
        <v>46319</v>
      </c>
      <c r="C637" s="40">
        <f t="shared" si="11"/>
        <v>100</v>
      </c>
    </row>
    <row r="638" spans="1:3">
      <c r="A638" s="41" t="s">
        <v>52</v>
      </c>
      <c r="B638" s="82">
        <v>46320</v>
      </c>
      <c r="C638" s="40">
        <f t="shared" si="11"/>
        <v>100</v>
      </c>
    </row>
    <row r="639" spans="1:3">
      <c r="A639" s="41" t="s">
        <v>52</v>
      </c>
      <c r="B639" s="82">
        <v>46321</v>
      </c>
      <c r="C639" s="40">
        <f t="shared" si="11"/>
        <v>100</v>
      </c>
    </row>
    <row r="640" spans="1:3">
      <c r="A640" s="41" t="s">
        <v>52</v>
      </c>
      <c r="B640" s="82">
        <v>46322</v>
      </c>
      <c r="C640" s="40">
        <f t="shared" si="11"/>
        <v>100</v>
      </c>
    </row>
    <row r="641" spans="1:3">
      <c r="A641" s="41" t="s">
        <v>52</v>
      </c>
      <c r="B641" s="82">
        <v>46323</v>
      </c>
      <c r="C641" s="40">
        <f t="shared" si="11"/>
        <v>100</v>
      </c>
    </row>
    <row r="642" spans="1:3">
      <c r="A642" s="41" t="s">
        <v>52</v>
      </c>
      <c r="B642" s="82">
        <v>46324</v>
      </c>
      <c r="C642" s="40">
        <f t="shared" si="11"/>
        <v>100</v>
      </c>
    </row>
    <row r="643" spans="1:3">
      <c r="A643" s="41" t="s">
        <v>52</v>
      </c>
      <c r="B643" s="82">
        <v>46325</v>
      </c>
      <c r="C643" s="40">
        <f t="shared" si="11"/>
        <v>100</v>
      </c>
    </row>
    <row r="644" spans="1:3">
      <c r="A644" s="41" t="s">
        <v>52</v>
      </c>
      <c r="B644" s="82">
        <v>46326</v>
      </c>
      <c r="C644" s="40">
        <f t="shared" si="11"/>
        <v>100</v>
      </c>
    </row>
    <row r="645" spans="1:3">
      <c r="A645" s="41" t="s">
        <v>52</v>
      </c>
      <c r="B645" s="82">
        <v>46327</v>
      </c>
      <c r="C645" s="40">
        <f t="shared" si="11"/>
        <v>100</v>
      </c>
    </row>
    <row r="646" spans="1:3">
      <c r="A646" s="41" t="s">
        <v>52</v>
      </c>
      <c r="B646" s="82">
        <v>46328</v>
      </c>
      <c r="C646" s="40">
        <f t="shared" si="11"/>
        <v>100</v>
      </c>
    </row>
    <row r="647" spans="1:3">
      <c r="A647" s="41" t="s">
        <v>52</v>
      </c>
      <c r="B647" s="82">
        <v>46329</v>
      </c>
      <c r="C647" s="40">
        <f t="shared" si="11"/>
        <v>100</v>
      </c>
    </row>
    <row r="648" spans="1:3">
      <c r="A648" s="41" t="s">
        <v>52</v>
      </c>
      <c r="B648" s="82">
        <v>46330</v>
      </c>
      <c r="C648" s="40">
        <f t="shared" si="11"/>
        <v>100</v>
      </c>
    </row>
    <row r="649" spans="1:3">
      <c r="A649" s="41" t="s">
        <v>52</v>
      </c>
      <c r="B649" s="82">
        <v>46331</v>
      </c>
      <c r="C649" s="40">
        <f t="shared" si="11"/>
        <v>100</v>
      </c>
    </row>
    <row r="650" spans="1:3">
      <c r="A650" s="41" t="s">
        <v>52</v>
      </c>
      <c r="B650" s="82">
        <v>46332</v>
      </c>
      <c r="C650" s="40">
        <f t="shared" si="11"/>
        <v>100</v>
      </c>
    </row>
    <row r="651" spans="1:3">
      <c r="A651" s="41" t="s">
        <v>52</v>
      </c>
      <c r="B651" s="82">
        <v>46333</v>
      </c>
      <c r="C651" s="40">
        <f t="shared" si="11"/>
        <v>100</v>
      </c>
    </row>
    <row r="652" spans="1:3">
      <c r="A652" s="41" t="s">
        <v>52</v>
      </c>
      <c r="B652" s="82">
        <v>46334</v>
      </c>
      <c r="C652" s="40">
        <f t="shared" si="11"/>
        <v>100</v>
      </c>
    </row>
    <row r="653" spans="1:3">
      <c r="A653" s="41" t="s">
        <v>52</v>
      </c>
      <c r="B653" s="82">
        <v>46335</v>
      </c>
      <c r="C653" s="40">
        <f t="shared" si="11"/>
        <v>100</v>
      </c>
    </row>
    <row r="654" spans="1:3">
      <c r="A654" s="41" t="s">
        <v>52</v>
      </c>
      <c r="B654" s="82">
        <v>46336</v>
      </c>
      <c r="C654" s="40">
        <f t="shared" si="11"/>
        <v>100</v>
      </c>
    </row>
    <row r="655" spans="1:3">
      <c r="A655" s="41" t="s">
        <v>52</v>
      </c>
      <c r="B655" s="82">
        <v>46337</v>
      </c>
      <c r="C655" s="40">
        <f t="shared" si="11"/>
        <v>100</v>
      </c>
    </row>
    <row r="656" spans="1:3">
      <c r="A656" s="41" t="s">
        <v>52</v>
      </c>
      <c r="B656" s="82">
        <v>46338</v>
      </c>
      <c r="C656" s="40">
        <f t="shared" si="11"/>
        <v>100</v>
      </c>
    </row>
    <row r="657" spans="1:3">
      <c r="A657" s="41" t="s">
        <v>52</v>
      </c>
      <c r="B657" s="82">
        <v>46339</v>
      </c>
      <c r="C657" s="40">
        <f t="shared" si="11"/>
        <v>100</v>
      </c>
    </row>
    <row r="658" spans="1:3">
      <c r="A658" s="41" t="s">
        <v>52</v>
      </c>
      <c r="B658" s="82">
        <v>46340</v>
      </c>
      <c r="C658" s="40">
        <f t="shared" si="11"/>
        <v>100</v>
      </c>
    </row>
    <row r="659" spans="1:3">
      <c r="A659" s="41" t="s">
        <v>52</v>
      </c>
      <c r="B659" s="82">
        <v>46341</v>
      </c>
      <c r="C659" s="40">
        <f t="shared" si="11"/>
        <v>100</v>
      </c>
    </row>
    <row r="660" spans="1:3">
      <c r="A660" s="41" t="s">
        <v>52</v>
      </c>
      <c r="B660" s="82">
        <v>46342</v>
      </c>
      <c r="C660" s="40">
        <f t="shared" si="11"/>
        <v>100</v>
      </c>
    </row>
    <row r="661" spans="1:3">
      <c r="A661" s="41" t="s">
        <v>52</v>
      </c>
      <c r="B661" s="82">
        <v>46343</v>
      </c>
      <c r="C661" s="40">
        <f t="shared" si="11"/>
        <v>100</v>
      </c>
    </row>
    <row r="662" spans="1:3">
      <c r="A662" s="41" t="s">
        <v>52</v>
      </c>
      <c r="B662" s="82">
        <v>46344</v>
      </c>
      <c r="C662" s="40">
        <f t="shared" si="11"/>
        <v>100</v>
      </c>
    </row>
    <row r="663" spans="1:3">
      <c r="A663" s="41" t="s">
        <v>52</v>
      </c>
      <c r="B663" s="82">
        <v>46345</v>
      </c>
      <c r="C663" s="40">
        <f t="shared" si="11"/>
        <v>100</v>
      </c>
    </row>
    <row r="664" spans="1:3">
      <c r="A664" s="41" t="s">
        <v>52</v>
      </c>
      <c r="B664" s="82">
        <v>46346</v>
      </c>
      <c r="C664" s="40">
        <f t="shared" si="11"/>
        <v>100</v>
      </c>
    </row>
    <row r="665" spans="1:3">
      <c r="A665" s="41" t="s">
        <v>52</v>
      </c>
      <c r="B665" s="82">
        <v>46347</v>
      </c>
      <c r="C665" s="40">
        <f t="shared" si="11"/>
        <v>100</v>
      </c>
    </row>
    <row r="666" spans="1:3">
      <c r="A666" s="41" t="s">
        <v>52</v>
      </c>
      <c r="B666" s="82">
        <v>46348</v>
      </c>
      <c r="C666" s="40">
        <f t="shared" si="11"/>
        <v>100</v>
      </c>
    </row>
    <row r="667" spans="1:3">
      <c r="A667" s="41" t="s">
        <v>52</v>
      </c>
      <c r="B667" s="82">
        <v>46349</v>
      </c>
      <c r="C667" s="40">
        <f t="shared" si="11"/>
        <v>100</v>
      </c>
    </row>
    <row r="668" spans="1:3">
      <c r="A668" s="41" t="s">
        <v>52</v>
      </c>
      <c r="B668" s="82">
        <v>46350</v>
      </c>
      <c r="C668" s="40">
        <f t="shared" si="11"/>
        <v>100</v>
      </c>
    </row>
    <row r="669" spans="1:3">
      <c r="A669" s="41" t="s">
        <v>52</v>
      </c>
      <c r="B669" s="82">
        <v>46351</v>
      </c>
      <c r="C669" s="40">
        <f t="shared" si="11"/>
        <v>100</v>
      </c>
    </row>
    <row r="670" spans="1:3">
      <c r="A670" s="41" t="s">
        <v>52</v>
      </c>
      <c r="B670" s="82">
        <v>46352</v>
      </c>
      <c r="C670" s="40">
        <f t="shared" si="11"/>
        <v>100</v>
      </c>
    </row>
    <row r="671" spans="1:3">
      <c r="A671" s="41" t="s">
        <v>52</v>
      </c>
      <c r="B671" s="82">
        <v>46353</v>
      </c>
      <c r="C671" s="40">
        <f t="shared" si="11"/>
        <v>100</v>
      </c>
    </row>
    <row r="672" spans="1:3">
      <c r="A672" s="41" t="s">
        <v>52</v>
      </c>
      <c r="B672" s="82">
        <v>46354</v>
      </c>
      <c r="C672" s="40">
        <f t="shared" si="11"/>
        <v>100</v>
      </c>
    </row>
    <row r="673" spans="1:3">
      <c r="A673" s="41" t="s">
        <v>52</v>
      </c>
      <c r="B673" s="82">
        <v>46355</v>
      </c>
      <c r="C673" s="40">
        <f t="shared" si="11"/>
        <v>100</v>
      </c>
    </row>
    <row r="674" spans="1:3">
      <c r="A674" s="41" t="s">
        <v>52</v>
      </c>
      <c r="B674" s="82">
        <v>46356</v>
      </c>
      <c r="C674" s="40">
        <f t="shared" ref="C674:C705" si="12">IF(D674="",100,MAX(0,(1440-D674)/1440*100))</f>
        <v>100</v>
      </c>
    </row>
    <row r="675" spans="1:3">
      <c r="A675" s="41" t="s">
        <v>52</v>
      </c>
      <c r="B675" s="82">
        <v>46357</v>
      </c>
      <c r="C675" s="40">
        <f t="shared" si="12"/>
        <v>100</v>
      </c>
    </row>
    <row r="676" spans="1:3">
      <c r="A676" s="41" t="s">
        <v>52</v>
      </c>
      <c r="B676" s="82">
        <v>46358</v>
      </c>
      <c r="C676" s="40">
        <f t="shared" si="12"/>
        <v>100</v>
      </c>
    </row>
    <row r="677" spans="1:3">
      <c r="A677" s="41" t="s">
        <v>52</v>
      </c>
      <c r="B677" s="82">
        <v>46359</v>
      </c>
      <c r="C677" s="40">
        <f t="shared" si="12"/>
        <v>100</v>
      </c>
    </row>
    <row r="678" spans="1:3">
      <c r="A678" s="41" t="s">
        <v>52</v>
      </c>
      <c r="B678" s="82">
        <v>46360</v>
      </c>
      <c r="C678" s="40">
        <f t="shared" si="12"/>
        <v>100</v>
      </c>
    </row>
    <row r="679" spans="1:3">
      <c r="A679" s="41" t="s">
        <v>52</v>
      </c>
      <c r="B679" s="82">
        <v>46361</v>
      </c>
      <c r="C679" s="40">
        <f t="shared" si="12"/>
        <v>100</v>
      </c>
    </row>
    <row r="680" spans="1:3">
      <c r="A680" s="41" t="s">
        <v>52</v>
      </c>
      <c r="B680" s="82">
        <v>46362</v>
      </c>
      <c r="C680" s="40">
        <f t="shared" si="12"/>
        <v>100</v>
      </c>
    </row>
    <row r="681" spans="1:3">
      <c r="A681" s="41" t="s">
        <v>52</v>
      </c>
      <c r="B681" s="82">
        <v>46363</v>
      </c>
      <c r="C681" s="40">
        <f t="shared" si="12"/>
        <v>100</v>
      </c>
    </row>
    <row r="682" spans="1:3">
      <c r="A682" s="41" t="s">
        <v>52</v>
      </c>
      <c r="B682" s="82">
        <v>46364</v>
      </c>
      <c r="C682" s="40">
        <f t="shared" si="12"/>
        <v>100</v>
      </c>
    </row>
    <row r="683" spans="1:3">
      <c r="A683" s="41" t="s">
        <v>52</v>
      </c>
      <c r="B683" s="82">
        <v>46365</v>
      </c>
      <c r="C683" s="40">
        <f t="shared" si="12"/>
        <v>100</v>
      </c>
    </row>
    <row r="684" spans="1:3">
      <c r="A684" s="41" t="s">
        <v>52</v>
      </c>
      <c r="B684" s="82">
        <v>46366</v>
      </c>
      <c r="C684" s="40">
        <f t="shared" si="12"/>
        <v>100</v>
      </c>
    </row>
    <row r="685" spans="1:3">
      <c r="A685" s="41" t="s">
        <v>52</v>
      </c>
      <c r="B685" s="82">
        <v>46367</v>
      </c>
      <c r="C685" s="40">
        <f t="shared" si="12"/>
        <v>100</v>
      </c>
    </row>
    <row r="686" spans="1:3">
      <c r="A686" s="41" t="s">
        <v>52</v>
      </c>
      <c r="B686" s="82">
        <v>46368</v>
      </c>
      <c r="C686" s="40">
        <f t="shared" si="12"/>
        <v>100</v>
      </c>
    </row>
    <row r="687" spans="1:3">
      <c r="A687" s="41" t="s">
        <v>52</v>
      </c>
      <c r="B687" s="82">
        <v>46369</v>
      </c>
      <c r="C687" s="40">
        <f t="shared" si="12"/>
        <v>100</v>
      </c>
    </row>
    <row r="688" spans="1:3">
      <c r="A688" s="41" t="s">
        <v>52</v>
      </c>
      <c r="B688" s="82">
        <v>46370</v>
      </c>
      <c r="C688" s="40">
        <f t="shared" si="12"/>
        <v>100</v>
      </c>
    </row>
    <row r="689" spans="1:3">
      <c r="A689" s="41" t="s">
        <v>52</v>
      </c>
      <c r="B689" s="82">
        <v>46371</v>
      </c>
      <c r="C689" s="40">
        <f t="shared" si="12"/>
        <v>100</v>
      </c>
    </row>
    <row r="690" spans="1:3">
      <c r="A690" s="41" t="s">
        <v>52</v>
      </c>
      <c r="B690" s="82">
        <v>46372</v>
      </c>
      <c r="C690" s="40">
        <f t="shared" si="12"/>
        <v>100</v>
      </c>
    </row>
    <row r="691" spans="1:3">
      <c r="A691" s="41" t="s">
        <v>52</v>
      </c>
      <c r="B691" s="82">
        <v>46373</v>
      </c>
      <c r="C691" s="40">
        <f t="shared" si="12"/>
        <v>100</v>
      </c>
    </row>
    <row r="692" spans="1:3">
      <c r="A692" s="41" t="s">
        <v>52</v>
      </c>
      <c r="B692" s="82">
        <v>46374</v>
      </c>
      <c r="C692" s="40">
        <f t="shared" si="12"/>
        <v>100</v>
      </c>
    </row>
    <row r="693" spans="1:3">
      <c r="A693" s="41" t="s">
        <v>52</v>
      </c>
      <c r="B693" s="82">
        <v>46375</v>
      </c>
      <c r="C693" s="40">
        <f t="shared" si="12"/>
        <v>100</v>
      </c>
    </row>
    <row r="694" spans="1:3">
      <c r="A694" s="41" t="s">
        <v>52</v>
      </c>
      <c r="B694" s="82">
        <v>46376</v>
      </c>
      <c r="C694" s="40">
        <f t="shared" si="12"/>
        <v>100</v>
      </c>
    </row>
    <row r="695" spans="1:3">
      <c r="A695" s="41" t="s">
        <v>52</v>
      </c>
      <c r="B695" s="82">
        <v>46377</v>
      </c>
      <c r="C695" s="40">
        <f t="shared" si="12"/>
        <v>100</v>
      </c>
    </row>
    <row r="696" spans="1:3">
      <c r="A696" s="41" t="s">
        <v>52</v>
      </c>
      <c r="B696" s="82">
        <v>46378</v>
      </c>
      <c r="C696" s="40">
        <f t="shared" si="12"/>
        <v>100</v>
      </c>
    </row>
    <row r="697" spans="1:3">
      <c r="A697" s="41" t="s">
        <v>52</v>
      </c>
      <c r="B697" s="82">
        <v>46379</v>
      </c>
      <c r="C697" s="40">
        <f t="shared" si="12"/>
        <v>100</v>
      </c>
    </row>
    <row r="698" spans="1:3">
      <c r="A698" s="41" t="s">
        <v>52</v>
      </c>
      <c r="B698" s="82">
        <v>46380</v>
      </c>
      <c r="C698" s="40">
        <f t="shared" si="12"/>
        <v>100</v>
      </c>
    </row>
    <row r="699" spans="1:3">
      <c r="A699" s="41" t="s">
        <v>52</v>
      </c>
      <c r="B699" s="82">
        <v>46381</v>
      </c>
      <c r="C699" s="40">
        <f t="shared" si="12"/>
        <v>100</v>
      </c>
    </row>
    <row r="700" spans="1:3">
      <c r="A700" s="41" t="s">
        <v>52</v>
      </c>
      <c r="B700" s="82">
        <v>46382</v>
      </c>
      <c r="C700" s="40">
        <f t="shared" si="12"/>
        <v>100</v>
      </c>
    </row>
    <row r="701" spans="1:3">
      <c r="A701" s="41" t="s">
        <v>52</v>
      </c>
      <c r="B701" s="82">
        <v>46383</v>
      </c>
      <c r="C701" s="40">
        <f t="shared" si="12"/>
        <v>100</v>
      </c>
    </row>
    <row r="702" spans="1:3">
      <c r="A702" s="41" t="s">
        <v>52</v>
      </c>
      <c r="B702" s="82">
        <v>46384</v>
      </c>
      <c r="C702" s="40">
        <f t="shared" si="12"/>
        <v>100</v>
      </c>
    </row>
    <row r="703" spans="1:3">
      <c r="A703" s="41" t="s">
        <v>52</v>
      </c>
      <c r="B703" s="82">
        <v>46385</v>
      </c>
      <c r="C703" s="40">
        <f t="shared" si="12"/>
        <v>100</v>
      </c>
    </row>
    <row r="704" spans="1:3">
      <c r="A704" s="41" t="s">
        <v>52</v>
      </c>
      <c r="B704" s="82">
        <v>46386</v>
      </c>
      <c r="C704" s="40">
        <f t="shared" si="12"/>
        <v>100</v>
      </c>
    </row>
    <row r="705" spans="1:3">
      <c r="A705" s="41" t="s">
        <v>52</v>
      </c>
      <c r="B705" s="82">
        <v>46387</v>
      </c>
      <c r="C705" s="40">
        <f t="shared" si="12"/>
        <v>100</v>
      </c>
    </row>
  </sheetData>
  <autoFilter ref="A1:E215" xr:uid="{722C57DA-B53F-4EF5-81D4-89FE6AB9FDC7}">
    <sortState xmlns:xlrd2="http://schemas.microsoft.com/office/spreadsheetml/2017/richdata2" ref="A2:E215">
      <sortCondition ref="B1"/>
    </sortState>
  </autoFilter>
  <dataValidations count="1">
    <dataValidation allowBlank="1" showInputMessage="1" showErrorMessage="1" sqref="A2:A705" xr:uid="{D87D8A40-72F0-47F9-B708-8FE8197B5EB9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Overview</vt:lpstr>
      <vt:lpstr>Fixed Station</vt:lpstr>
      <vt:lpstr>Event Log</vt:lpstr>
      <vt:lpstr>Summary!Print_Area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Wisitsak Porkpermdee</dc:creator>
  <cp:keywords/>
  <dc:description/>
  <cp:lastModifiedBy>Office</cp:lastModifiedBy>
  <cp:revision/>
  <dcterms:created xsi:type="dcterms:W3CDTF">2026-08-05T07:50:57Z</dcterms:created>
  <dcterms:modified xsi:type="dcterms:W3CDTF">2026-10-06T12:06:46Z</dcterms:modified>
  <cp:category/>
  <cp:contentStatus/>
</cp:coreProperties>
</file>