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rth\0.USO\Codex\"/>
    </mc:Choice>
  </mc:AlternateContent>
  <xr:revisionPtr revIDLastSave="0" documentId="8_{0741AB84-158E-4DA4-A95A-23624604D75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202" r:id="rId1"/>
    <sheet name="Overview" sheetId="203" r:id="rId2"/>
    <sheet name="Event Log" sheetId="204" r:id="rId3"/>
    <sheet name="วิเคราะห์ข้อมูล" sheetId="205" r:id="rId4"/>
  </sheets>
  <definedNames>
    <definedName name="__xlnm.Print_Area_3" localSheetId="0">#REF!</definedName>
    <definedName name="__xlnm.Print_Area_3">#REF!</definedName>
    <definedName name="__xlnm.Print_Area_4">#REF!</definedName>
    <definedName name="_xlnm._FilterDatabase" localSheetId="2" hidden="1">'Event Log'!$A$1:$E$215</definedName>
    <definedName name="IP_PBX" localSheetId="0">#REF!</definedName>
    <definedName name="IP_PBX">#REF!</definedName>
    <definedName name="OLE_LINK1">#REF!</definedName>
    <definedName name="_xlnm.Print_Area" localSheetId="0">Summary!$A$1:$R$20</definedName>
    <definedName name="Type" localSheetId="0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204" l="1"/>
  <c r="C127" i="204"/>
  <c r="C128" i="204"/>
  <c r="C129" i="204"/>
  <c r="C130" i="204"/>
  <c r="C131" i="204"/>
  <c r="C132" i="204"/>
  <c r="C133" i="204"/>
  <c r="C134" i="204"/>
  <c r="C135" i="204"/>
  <c r="C136" i="204"/>
  <c r="C137" i="204"/>
  <c r="C138" i="204"/>
  <c r="C139" i="204"/>
  <c r="C140" i="204"/>
  <c r="C141" i="204"/>
  <c r="C142" i="204"/>
  <c r="C143" i="204"/>
  <c r="C144" i="204"/>
  <c r="C145" i="204"/>
  <c r="C146" i="204"/>
  <c r="C147" i="204"/>
  <c r="C148" i="204"/>
  <c r="C149" i="204"/>
  <c r="C150" i="204"/>
  <c r="C151" i="204"/>
  <c r="C152" i="204"/>
  <c r="C153" i="204"/>
  <c r="C154" i="204"/>
  <c r="C155" i="204"/>
  <c r="C156" i="204"/>
  <c r="C157" i="204"/>
  <c r="C158" i="204"/>
  <c r="C159" i="204"/>
  <c r="C160" i="204"/>
  <c r="C161" i="204"/>
  <c r="C162" i="204"/>
  <c r="C163" i="204"/>
  <c r="C164" i="204"/>
  <c r="C165" i="204"/>
  <c r="C166" i="204"/>
  <c r="C167" i="204"/>
  <c r="C168" i="204"/>
  <c r="C169" i="204"/>
  <c r="C170" i="204"/>
  <c r="C171" i="204"/>
  <c r="C172" i="204"/>
  <c r="C173" i="204"/>
  <c r="C174" i="204"/>
  <c r="C175" i="204"/>
  <c r="C176" i="204"/>
  <c r="C177" i="204"/>
  <c r="C178" i="204"/>
  <c r="C179" i="204"/>
  <c r="C180" i="204"/>
  <c r="C181" i="204"/>
  <c r="C182" i="204"/>
  <c r="C183" i="204"/>
  <c r="C184" i="204"/>
  <c r="C185" i="204"/>
  <c r="C186" i="204"/>
  <c r="C187" i="204"/>
  <c r="C188" i="204"/>
  <c r="C189" i="204"/>
  <c r="C190" i="204"/>
  <c r="C191" i="204"/>
  <c r="C192" i="204"/>
  <c r="C193" i="204"/>
  <c r="C194" i="204"/>
  <c r="C195" i="204"/>
  <c r="C196" i="204"/>
  <c r="C197" i="204"/>
  <c r="C198" i="204"/>
  <c r="C199" i="204"/>
  <c r="C200" i="204"/>
  <c r="C201" i="204"/>
  <c r="C202" i="204"/>
  <c r="C203" i="204"/>
  <c r="C204" i="204"/>
  <c r="C205" i="204"/>
  <c r="C206" i="204"/>
  <c r="C207" i="204"/>
  <c r="C208" i="204"/>
  <c r="C209" i="204"/>
  <c r="C210" i="204"/>
  <c r="C211" i="204"/>
  <c r="C212" i="204"/>
  <c r="C213" i="204"/>
  <c r="C214" i="204"/>
  <c r="C215" i="204"/>
  <c r="C216" i="204"/>
  <c r="C217" i="204"/>
  <c r="C218" i="204"/>
  <c r="C219" i="204"/>
  <c r="C220" i="204"/>
  <c r="C221" i="204"/>
  <c r="C222" i="204"/>
  <c r="C223" i="204"/>
  <c r="C224" i="204"/>
  <c r="C225" i="204"/>
  <c r="C226" i="204"/>
  <c r="C227" i="204"/>
  <c r="C228" i="204"/>
  <c r="C229" i="204"/>
  <c r="C230" i="204"/>
  <c r="C231" i="204"/>
  <c r="C232" i="204"/>
  <c r="C233" i="204"/>
  <c r="C234" i="204"/>
  <c r="C235" i="204"/>
  <c r="C236" i="204"/>
  <c r="C237" i="204"/>
  <c r="C238" i="204"/>
  <c r="C239" i="204"/>
  <c r="C240" i="204"/>
  <c r="C241" i="204"/>
  <c r="C242" i="204"/>
  <c r="C243" i="204"/>
  <c r="C244" i="204"/>
  <c r="C245" i="204"/>
  <c r="G17" i="205"/>
  <c r="G13" i="205"/>
  <c r="A59" i="205"/>
  <c r="A58" i="205"/>
  <c r="A57" i="205"/>
  <c r="A56" i="205"/>
  <c r="A55" i="205"/>
  <c r="A54" i="205"/>
  <c r="A53" i="205"/>
  <c r="A52" i="205"/>
  <c r="A51" i="205"/>
  <c r="A50" i="205"/>
  <c r="A49" i="205"/>
  <c r="A48" i="205"/>
  <c r="A47" i="205"/>
  <c r="A46" i="205"/>
  <c r="A45" i="205"/>
  <c r="A44" i="205"/>
  <c r="A43" i="205"/>
  <c r="A42" i="205"/>
  <c r="A41" i="205"/>
  <c r="A40" i="205"/>
  <c r="A39" i="205"/>
  <c r="A38" i="205"/>
  <c r="A37" i="205"/>
  <c r="A36" i="205"/>
  <c r="A35" i="205"/>
  <c r="A34" i="205"/>
  <c r="A33" i="205"/>
  <c r="A32" i="205"/>
  <c r="A31" i="205"/>
  <c r="A30" i="205"/>
  <c r="A29" i="205"/>
  <c r="B24" i="205" a="1"/>
  <c r="C24" i="205" s="1"/>
  <c r="B23" i="205"/>
  <c r="C23" i="205" s="1"/>
  <c r="B7" i="202"/>
  <c r="C33" i="204"/>
  <c r="C29" i="205" s="1"/>
  <c r="C64" i="204"/>
  <c r="D29" i="205" s="1"/>
  <c r="C95" i="204"/>
  <c r="E29" i="205" s="1"/>
  <c r="C3" i="204"/>
  <c r="B30" i="205" s="1"/>
  <c r="C34" i="204"/>
  <c r="C30" i="205" s="1"/>
  <c r="C65" i="204"/>
  <c r="D30" i="205" s="1"/>
  <c r="C96" i="204"/>
  <c r="E30" i="205" s="1"/>
  <c r="C4" i="204"/>
  <c r="B31" i="205" s="1"/>
  <c r="C35" i="204"/>
  <c r="C31" i="205" s="1"/>
  <c r="C66" i="204"/>
  <c r="D31" i="205" s="1"/>
  <c r="C97" i="204"/>
  <c r="E31" i="205" s="1"/>
  <c r="C5" i="204"/>
  <c r="B32" i="205" s="1"/>
  <c r="C36" i="204"/>
  <c r="C32" i="205" s="1"/>
  <c r="C67" i="204"/>
  <c r="D32" i="205" s="1"/>
  <c r="C98" i="204"/>
  <c r="E32" i="205" s="1"/>
  <c r="C6" i="204"/>
  <c r="B33" i="205" s="1"/>
  <c r="C37" i="204"/>
  <c r="C33" i="205" s="1"/>
  <c r="C68" i="204"/>
  <c r="D33" i="205" s="1"/>
  <c r="C99" i="204"/>
  <c r="E33" i="205" s="1"/>
  <c r="C7" i="204"/>
  <c r="B34" i="205" s="1"/>
  <c r="C38" i="204"/>
  <c r="C34" i="205" s="1"/>
  <c r="C69" i="204"/>
  <c r="D34" i="205" s="1"/>
  <c r="C100" i="204"/>
  <c r="E34" i="205" s="1"/>
  <c r="C8" i="204"/>
  <c r="B35" i="205" s="1"/>
  <c r="C39" i="204"/>
  <c r="C35" i="205" s="1"/>
  <c r="C70" i="204"/>
  <c r="D35" i="205" s="1"/>
  <c r="C101" i="204"/>
  <c r="E35" i="205" s="1"/>
  <c r="C9" i="204"/>
  <c r="B36" i="205" s="1"/>
  <c r="C40" i="204"/>
  <c r="C36" i="205" s="1"/>
  <c r="C71" i="204"/>
  <c r="D36" i="205" s="1"/>
  <c r="C102" i="204"/>
  <c r="E36" i="205" s="1"/>
  <c r="C10" i="204"/>
  <c r="B37" i="205" s="1"/>
  <c r="C41" i="204"/>
  <c r="C37" i="205" s="1"/>
  <c r="C72" i="204"/>
  <c r="D37" i="205" s="1"/>
  <c r="C103" i="204"/>
  <c r="E37" i="205" s="1"/>
  <c r="C11" i="204"/>
  <c r="B38" i="205" s="1"/>
  <c r="C42" i="204"/>
  <c r="C38" i="205" s="1"/>
  <c r="C73" i="204"/>
  <c r="D38" i="205" s="1"/>
  <c r="C104" i="204"/>
  <c r="E38" i="205" s="1"/>
  <c r="C12" i="204"/>
  <c r="B39" i="205" s="1"/>
  <c r="C43" i="204"/>
  <c r="C39" i="205" s="1"/>
  <c r="C74" i="204"/>
  <c r="D39" i="205" s="1"/>
  <c r="C105" i="204"/>
  <c r="E39" i="205" s="1"/>
  <c r="C13" i="204"/>
  <c r="B40" i="205" s="1"/>
  <c r="C44" i="204"/>
  <c r="C40" i="205" s="1"/>
  <c r="C75" i="204"/>
  <c r="D40" i="205" s="1"/>
  <c r="C106" i="204"/>
  <c r="E40" i="205" s="1"/>
  <c r="C14" i="204"/>
  <c r="B41" i="205" s="1"/>
  <c r="C45" i="204"/>
  <c r="C41" i="205" s="1"/>
  <c r="C76" i="204"/>
  <c r="D41" i="205" s="1"/>
  <c r="C107" i="204"/>
  <c r="E41" i="205" s="1"/>
  <c r="C15" i="204"/>
  <c r="B42" i="205" s="1"/>
  <c r="C46" i="204"/>
  <c r="C42" i="205" s="1"/>
  <c r="C77" i="204"/>
  <c r="D42" i="205" s="1"/>
  <c r="C108" i="204"/>
  <c r="E42" i="205" s="1"/>
  <c r="C16" i="204"/>
  <c r="B43" i="205" s="1"/>
  <c r="C47" i="204"/>
  <c r="C43" i="205" s="1"/>
  <c r="C78" i="204"/>
  <c r="D43" i="205" s="1"/>
  <c r="C109" i="204"/>
  <c r="E43" i="205" s="1"/>
  <c r="C17" i="204"/>
  <c r="B44" i="205" s="1"/>
  <c r="C48" i="204"/>
  <c r="C44" i="205" s="1"/>
  <c r="C79" i="204"/>
  <c r="D44" i="205" s="1"/>
  <c r="C110" i="204"/>
  <c r="E44" i="205" s="1"/>
  <c r="C18" i="204"/>
  <c r="B45" i="205" s="1"/>
  <c r="C49" i="204"/>
  <c r="C45" i="205" s="1"/>
  <c r="C80" i="204"/>
  <c r="D45" i="205" s="1"/>
  <c r="C111" i="204"/>
  <c r="E45" i="205" s="1"/>
  <c r="C19" i="204"/>
  <c r="B46" i="205" s="1"/>
  <c r="C50" i="204"/>
  <c r="C46" i="205" s="1"/>
  <c r="C81" i="204"/>
  <c r="D46" i="205" s="1"/>
  <c r="C112" i="204"/>
  <c r="E46" i="205" s="1"/>
  <c r="C20" i="204"/>
  <c r="B47" i="205" s="1"/>
  <c r="C51" i="204"/>
  <c r="C47" i="205" s="1"/>
  <c r="C82" i="204"/>
  <c r="D47" i="205" s="1"/>
  <c r="C113" i="204"/>
  <c r="E47" i="205" s="1"/>
  <c r="C21" i="204"/>
  <c r="B48" i="205" s="1"/>
  <c r="C52" i="204"/>
  <c r="C48" i="205" s="1"/>
  <c r="C83" i="204"/>
  <c r="D48" i="205" s="1"/>
  <c r="C114" i="204"/>
  <c r="E48" i="205" s="1"/>
  <c r="C22" i="204"/>
  <c r="B49" i="205" s="1"/>
  <c r="C53" i="204"/>
  <c r="C49" i="205" s="1"/>
  <c r="C84" i="204"/>
  <c r="D49" i="205" s="1"/>
  <c r="C115" i="204"/>
  <c r="E49" i="205" s="1"/>
  <c r="C23" i="204"/>
  <c r="B50" i="205" s="1"/>
  <c r="C54" i="204"/>
  <c r="C50" i="205" s="1"/>
  <c r="C85" i="204"/>
  <c r="D50" i="205" s="1"/>
  <c r="C116" i="204"/>
  <c r="E50" i="205" s="1"/>
  <c r="C24" i="204"/>
  <c r="B51" i="205" s="1"/>
  <c r="C55" i="204"/>
  <c r="C51" i="205" s="1"/>
  <c r="C86" i="204"/>
  <c r="D51" i="205" s="1"/>
  <c r="C117" i="204"/>
  <c r="E51" i="205" s="1"/>
  <c r="C25" i="204"/>
  <c r="B52" i="205" s="1"/>
  <c r="C56" i="204"/>
  <c r="C52" i="205" s="1"/>
  <c r="C87" i="204"/>
  <c r="D52" i="205" s="1"/>
  <c r="C118" i="204"/>
  <c r="E52" i="205" s="1"/>
  <c r="C26" i="204"/>
  <c r="B53" i="205" s="1"/>
  <c r="C57" i="204"/>
  <c r="C53" i="205" s="1"/>
  <c r="C88" i="204"/>
  <c r="D53" i="205" s="1"/>
  <c r="C119" i="204"/>
  <c r="E53" i="205" s="1"/>
  <c r="C27" i="204"/>
  <c r="B54" i="205" s="1"/>
  <c r="C58" i="204"/>
  <c r="C54" i="205" s="1"/>
  <c r="C89" i="204"/>
  <c r="D54" i="205" s="1"/>
  <c r="C120" i="204"/>
  <c r="E54" i="205" s="1"/>
  <c r="C28" i="204"/>
  <c r="B55" i="205" s="1"/>
  <c r="C59" i="204"/>
  <c r="C55" i="205" s="1"/>
  <c r="C90" i="204"/>
  <c r="D55" i="205" s="1"/>
  <c r="C121" i="204"/>
  <c r="E55" i="205" s="1"/>
  <c r="C29" i="204"/>
  <c r="B56" i="205" s="1"/>
  <c r="C60" i="204"/>
  <c r="C56" i="205" s="1"/>
  <c r="C91" i="204"/>
  <c r="D56" i="205" s="1"/>
  <c r="C122" i="204"/>
  <c r="E56" i="205" s="1"/>
  <c r="C30" i="204"/>
  <c r="B57" i="205" s="1"/>
  <c r="C61" i="204"/>
  <c r="C57" i="205" s="1"/>
  <c r="C92" i="204"/>
  <c r="D57" i="205" s="1"/>
  <c r="C123" i="204"/>
  <c r="E57" i="205" s="1"/>
  <c r="C31" i="204"/>
  <c r="B58" i="205" s="1"/>
  <c r="C62" i="204"/>
  <c r="C58" i="205" s="1"/>
  <c r="C93" i="204"/>
  <c r="D58" i="205" s="1"/>
  <c r="C124" i="204"/>
  <c r="E58" i="205" s="1"/>
  <c r="C32" i="204"/>
  <c r="B59" i="205" s="1"/>
  <c r="C63" i="204"/>
  <c r="C59" i="205" s="1"/>
  <c r="C94" i="204"/>
  <c r="D59" i="205" s="1"/>
  <c r="C125" i="204"/>
  <c r="E59" i="205" s="1"/>
  <c r="C2" i="204"/>
  <c r="P4" i="203"/>
  <c r="O4" i="203"/>
  <c r="N4" i="203"/>
  <c r="M4" i="203"/>
  <c r="L4" i="203"/>
  <c r="K4" i="203"/>
  <c r="J4" i="203"/>
  <c r="I4" i="203"/>
  <c r="H4" i="203"/>
  <c r="G4" i="203"/>
  <c r="F4" i="203"/>
  <c r="E4" i="203"/>
  <c r="D4" i="203"/>
  <c r="C4" i="203"/>
  <c r="A4" i="203"/>
  <c r="Q6" i="203"/>
  <c r="Q7" i="203"/>
  <c r="Q8" i="203"/>
  <c r="Q9" i="203"/>
  <c r="Q10" i="203"/>
  <c r="Q11" i="203"/>
  <c r="Q12" i="203"/>
  <c r="Q13" i="203"/>
  <c r="Q14" i="203"/>
  <c r="Q15" i="203"/>
  <c r="Q16" i="203"/>
  <c r="Q17" i="203"/>
  <c r="Q18" i="203"/>
  <c r="Q19" i="203"/>
  <c r="Q20" i="203"/>
  <c r="Q5" i="203"/>
  <c r="N7" i="202"/>
  <c r="J7" i="202"/>
  <c r="F11" i="202"/>
  <c r="F7" i="202"/>
  <c r="F12" i="202"/>
  <c r="J11" i="202"/>
  <c r="C4" i="202"/>
  <c r="A3" i="205" s="1"/>
  <c r="B4" i="203"/>
  <c r="U12" i="203" l="1"/>
  <c r="U11" i="203"/>
  <c r="U9" i="203"/>
  <c r="U8" i="203"/>
  <c r="E18" i="205"/>
  <c r="B29" i="205"/>
  <c r="D18" i="205"/>
  <c r="F18" i="205"/>
  <c r="F14" i="205"/>
  <c r="C18" i="205"/>
  <c r="E14" i="205"/>
  <c r="B18" i="205"/>
  <c r="F17" i="205"/>
  <c r="F16" i="205"/>
  <c r="F15" i="205"/>
  <c r="B15" i="205"/>
  <c r="E15" i="205"/>
  <c r="B16" i="205"/>
  <c r="E16" i="205"/>
  <c r="B17" i="205"/>
  <c r="E17" i="205"/>
  <c r="D17" i="205"/>
  <c r="D16" i="205"/>
  <c r="D15" i="205"/>
  <c r="C17" i="205"/>
  <c r="C16" i="205"/>
  <c r="C15" i="205"/>
  <c r="C14" i="205"/>
  <c r="D14" i="205"/>
  <c r="A6" i="205"/>
  <c r="B14" i="205"/>
  <c r="D6" i="205"/>
  <c r="G6" i="205"/>
  <c r="Q21" i="203"/>
  <c r="G15" i="205" l="1"/>
  <c r="G14" i="205"/>
  <c r="J13" i="202"/>
  <c r="G16" i="205"/>
  <c r="A9" i="205"/>
  <c r="J6" i="205"/>
  <c r="F13" i="20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<sst xmlns="http://schemas.openxmlformats.org/spreadsheetml/2006/main" count="384" uniqueCount="106">
  <si>
    <t>การจัดซื้ออุปกรณ์พร้อมดำเนินการติดตั้ง
โครงการเพิ่มประสิทธิภาพระบบโครงข่ายสื่อสารด้วยอุปกรณ์ทวนสัญญาณผ่านคลื่นความถี่สูง (SHF)
เพื่อสนับสนุนการปฏิบัติราชการและแก้ไขปัญหาให้กับประชาชนในพื้นที่ห่างไกล
สัญญาเลขที่ ๘๖๘๐๒๒๘ ลงวันที่ ๒๓ กรกฎาคม ๒๕๖๘</t>
  </si>
  <si>
    <t>รายงานสรุปสถานะระบบชุมสายประจำวัน / DAILY  SYSTEM STATUS REPORT</t>
  </si>
  <si>
    <t>วันที่</t>
  </si>
  <si>
    <t>ภาพรวมสถานะบริการทั้งระบบ</t>
  </si>
  <si>
    <t>ระบบศูนย์ควบคุมสถานีแม่ข่าย / 
Base Station Switching Center</t>
  </si>
  <si>
    <t>ระบบบริหารจัดการ (iMaster NCE Campus) / 
SD-WAN Controller</t>
  </si>
  <si>
    <t>ระบบบริหารจัดการชุดอุปกรณ์ทวนสัญญาณผ่านคลื่นความถี่สูง (iMaster NCE-T) / Microwave</t>
  </si>
  <si>
    <t>ชุดสั่งการ / Dispatcher</t>
  </si>
  <si>
    <t>สรุปงาน</t>
  </si>
  <si>
    <t>หัวข้อ</t>
  </si>
  <si>
    <t>ผลตรวจสอบ / Result</t>
  </si>
  <si>
    <t>ข้อความสรุป</t>
  </si>
  <si>
    <t>สถานะระบบรวม / Overall system status</t>
  </si>
  <si>
    <t>รายการตรวจสอบสถานีปลายทาง / Station checks</t>
  </si>
  <si>
    <t>ตรวจสอบสถานีและอุปกรณ์ตามรายการรายวัน / Station and equipment monitoring completed</t>
  </si>
  <si>
    <t>รายการรอแก้ไข / Pending corrections</t>
  </si>
  <si>
    <t xml:space="preserve">รายละเอียดผลการตรวจสอบสถานีและอุปกรณ์ชุมสาย / STATION &amp; EQUIPMENT CHECK DETAILS  </t>
  </si>
  <si>
    <t xml:space="preserve">ข้อมูลสถานะระบบ /SYSTEM STATUS INPUT </t>
  </si>
  <si>
    <t>ลำดับ</t>
  </si>
  <si>
    <t>ชื่อสถานี</t>
  </si>
  <si>
    <t>ไฟฟ้า</t>
  </si>
  <si>
    <t>สถานีแม่ข่าย</t>
  </si>
  <si>
    <t>อุปกรณ์กระจายสัญญาณ</t>
  </si>
  <si>
    <t>SD-WAN</t>
  </si>
  <si>
    <t>Microwave</t>
  </si>
  <si>
    <t>LINK</t>
  </si>
  <si>
    <t>กำลังรอการแก้ไข</t>
  </si>
  <si>
    <t>หมายเหตุ</t>
  </si>
  <si>
    <t>No. / ลำดับ</t>
  </si>
  <si>
    <t>System / ระบบ</t>
  </si>
  <si>
    <t>Monitoring scope / ขอบเขตการตรวจสอบ</t>
  </si>
  <si>
    <t>Status / สถานะ</t>
  </si>
  <si>
    <t>Customer message / ข้อความสำหรับแจ้งลูกค้า</t>
  </si>
  <si>
    <t>ปรับปรุงล่าสุด / Updated</t>
  </si>
  <si>
    <t>Electric</t>
  </si>
  <si>
    <t>VSWR &gt; 1.5</t>
  </si>
  <si>
    <t>Tx</t>
  </si>
  <si>
    <t>Rx</t>
  </si>
  <si>
    <t>Down</t>
  </si>
  <si>
    <t>CPRI Cable</t>
  </si>
  <si>
    <t>SFP</t>
  </si>
  <si>
    <t>Not stable</t>
  </si>
  <si>
    <t>BSSC</t>
  </si>
  <si>
    <t>ระบบศูนย์ควบคุมสถานีแม่ข่าย (Base Station Switching Center)</t>
  </si>
  <si>
    <t>ปกติ / Normal</t>
  </si>
  <si>
    <t>ให้บริการตามปกติ ไม่พบเหตุขัดข้อง / Normal operation; no incident found</t>
  </si>
  <si>
    <t>ระบบบริหารจัดการ (iMaster NCE Campus)</t>
  </si>
  <si>
    <t>BS-261</t>
  </si>
  <si>
    <t>BS หนองนกแก้ว</t>
  </si>
  <si>
    <t>ระบบบริหารจัดการชุดอุปกรณ์ทวนสัญญาณผ่านคลื่นความถี่สูง (iMaster NCE-T)</t>
  </si>
  <si>
    <t>BS-262</t>
  </si>
  <si>
    <t>BS ศรีสุขสำราญ</t>
  </si>
  <si>
    <t>Dispatcher</t>
  </si>
  <si>
    <t>ชุดสั่งการ</t>
  </si>
  <si>
    <t>BS-263</t>
  </si>
  <si>
    <t>BS คลองป่าหมู</t>
  </si>
  <si>
    <t>Base station 8 station</t>
  </si>
  <si>
    <t>จำนวน</t>
  </si>
  <si>
    <t>BS-264</t>
  </si>
  <si>
    <t>Online</t>
  </si>
  <si>
    <t>BS-265</t>
  </si>
  <si>
    <t>BS วังงิ้ว</t>
  </si>
  <si>
    <t>Pending</t>
  </si>
  <si>
    <t>BS-266</t>
  </si>
  <si>
    <t xml:space="preserve">BS บ้านปางใหม่พัฒนา </t>
  </si>
  <si>
    <t>Analog Gateway 8 station</t>
  </si>
  <si>
    <t>BS-267</t>
  </si>
  <si>
    <t>BS ช่อง</t>
  </si>
  <si>
    <t>BS-268</t>
  </si>
  <si>
    <t>BS คลองพลู</t>
  </si>
  <si>
    <t>AGW</t>
  </si>
  <si>
    <t>ห้วยกระเจา</t>
  </si>
  <si>
    <t>คลองลาน</t>
  </si>
  <si>
    <t>เขาสวนกวาง</t>
  </si>
  <si>
    <t>เขาคิชฌกูฎ</t>
  </si>
  <si>
    <t>ย่านตาขาว</t>
  </si>
  <si>
    <t>วังน้ำเขียว</t>
  </si>
  <si>
    <t>หัวไทร</t>
  </si>
  <si>
    <t>ดงเจริญ</t>
  </si>
  <si>
    <t>*** หมายเหตุ เช็คในช่องด้านบนเมื่อมีเหตุให้แก้ไขหรือพบข้อบกพร่อง</t>
  </si>
  <si>
    <t>System</t>
  </si>
  <si>
    <t>Date</t>
  </si>
  <si>
    <t>Online (100%)</t>
  </si>
  <si>
    <t>Down time(min)</t>
  </si>
  <si>
    <t>วิเคราะห์สถานะระบบและสถานี | SYSTEM OPERATIONS INSIGHTS</t>
  </si>
  <si>
    <t>ความพร้อมใช้งานเฉลี่ย</t>
  </si>
  <si>
    <t>เวลาหยุดรวม</t>
  </si>
  <si>
    <t>วัน-ระบบที่ Online 100%</t>
  </si>
  <si>
    <t>สถานีที่ต้องติดตาม</t>
  </si>
  <si>
    <t>สรุปประสิทธิภาพรายระบบ | AUGUST 2026</t>
  </si>
  <si>
    <t>ข้อค้นพบเบื้องต้น | INITIAL INSIGHTS</t>
  </si>
  <si>
    <t>ระบบ</t>
  </si>
  <si>
    <t>Online เฉลี่ย</t>
  </si>
  <si>
    <t>Downtime (นาที)</t>
  </si>
  <si>
    <t>Online 100%</t>
  </si>
  <si>
    <t>ต่ำกว่า 99.80%</t>
  </si>
  <si>
    <t>Downtime สูงสุด</t>
  </si>
  <si>
    <t>รวม / เฉลี่ย</t>
  </si>
  <si>
    <t>รายการตรวจสถานีที่ถูกทำเครื่องหมาย</t>
  </si>
  <si>
    <t>ประเภท</t>
  </si>
  <si>
    <t>จำนวนสถานี</t>
  </si>
  <si>
    <t>สัดส่วน</t>
  </si>
  <si>
    <t>ข้อบกพร่องอื่น</t>
  </si>
  <si>
    <t>ข้อจำกัดข้อมูล: ตัวเลข Online และ Downtime เป็นข้อมูลจำลองแบบสุ่ม ไม่ควรใช้เป็นหลักฐาน SLA หรือรายงานเหตุการณ์จริงจนกว่าจะเปลี่ยนเป็นข้อมูลจากระบบ Monitoring</t>
  </si>
  <si>
    <t>แนวโน้ม Online รายวัน (%) — ข้อมูลสำหรับกราฟ</t>
  </si>
  <si>
    <t>BS วัดบางอุดม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</si>
</sst>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107041E]d\ mmmm\ yyyy;@"/>
    <numFmt numFmtId="167" formatCode="0.00&quot;%&quot;"/>
    <numFmt numFmtId="168" formatCode="0.00\%"/>
    <numFmt numFmtId="169" formatCode="0\ &quot;นาที&quot;"/>
    <numFmt numFmtId="170" formatCode="0\ &quot;รายการ&quot;"/>
    <numFmt numFmtId="171" formatCode="0\ &quot;สถานี&quot;"/>
    <numFmt numFmtId="172" formatCode="d\ mmm"/>
  </numFmts>
  <fonts count="41" x14ac:knownFonts="1">
    <font>
      <sz val="11"/>
      <color indexed="8"/>
      <name val="Tahom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indexed="23"/>
      <name val="Tahoma"/>
      <family val="2"/>
    </font>
    <font>
      <sz val="10"/>
      <name val="Arial"/>
      <family val="2"/>
    </font>
    <font>
      <b/>
      <sz val="13"/>
      <color theme="1" tint="0.24994659260841701"/>
      <name val="Calibri Light"/>
      <family val="2"/>
    </font>
    <font>
      <sz val="11"/>
      <color indexed="8"/>
      <name val="TH Sarabun New"/>
      <family val="2"/>
    </font>
    <font>
      <sz val="28"/>
      <name val="TH Sarabun New"/>
      <family val="2"/>
    </font>
    <font>
      <i/>
      <sz val="14"/>
      <color rgb="FF666666"/>
      <name val="TH Sarabun New"/>
      <family val="2"/>
    </font>
    <font>
      <b/>
      <sz val="14"/>
      <color rgb="FFFFFFFF"/>
      <name val="TH Sarabun New"/>
      <family val="2"/>
    </font>
    <font>
      <b/>
      <sz val="14"/>
      <color rgb="FF17365D"/>
      <name val="TH Sarabun New"/>
      <family val="2"/>
    </font>
    <font>
      <sz val="14"/>
      <color indexed="8"/>
      <name val="TH Sarabun New"/>
      <family val="2"/>
    </font>
    <font>
      <sz val="14"/>
      <color rgb="FF666666"/>
      <name val="TH Sarabun New"/>
      <family val="2"/>
    </font>
    <font>
      <sz val="14"/>
      <name val="TH Sarabun New"/>
      <family val="2"/>
    </font>
    <font>
      <b/>
      <sz val="14"/>
      <color indexed="8"/>
      <name val="TH Sarabun New"/>
      <family val="2"/>
    </font>
    <font>
      <sz val="10"/>
      <name val="TH SarabunIT๙"/>
      <family val="2"/>
    </font>
    <font>
      <b/>
      <sz val="13"/>
      <name val="TH SarabunIT๙"/>
      <family val="2"/>
    </font>
    <font>
      <b/>
      <sz val="14"/>
      <name val="TH SarabunIT๙"/>
      <family val="2"/>
    </font>
    <font>
      <b/>
      <sz val="14"/>
      <name val="TH Sarabun New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17365D"/>
      <name val="Calibri"/>
      <family val="2"/>
      <scheme val="minor"/>
    </font>
    <font>
      <sz val="11"/>
      <color indexed="8"/>
      <name val="Aptos"/>
      <family val="2"/>
    </font>
    <font>
      <sz val="10"/>
      <color indexed="8"/>
      <name val="Aptos"/>
      <family val="2"/>
    </font>
    <font>
      <b/>
      <sz val="11"/>
      <color rgb="FFFFFFFF"/>
      <name val="Tahoma"/>
      <family val="2"/>
    </font>
    <font>
      <b/>
      <sz val="20"/>
      <color rgb="FFFFFFFF"/>
      <name val="Tahoma"/>
      <family val="2"/>
    </font>
    <font>
      <i/>
      <sz val="11"/>
      <color rgb="FF587086"/>
      <name val="Tahoma"/>
      <family val="2"/>
    </font>
    <font>
      <b/>
      <sz val="19"/>
      <color rgb="FF1B998B"/>
      <name val="Tahoma"/>
      <family val="2"/>
    </font>
    <font>
      <b/>
      <sz val="19"/>
      <color rgb="FFE67E22"/>
      <name val="Tahoma"/>
      <family val="2"/>
    </font>
    <font>
      <b/>
      <sz val="19"/>
      <color rgb="FF2878B5"/>
      <name val="Tahoma"/>
      <family val="2"/>
    </font>
    <font>
      <b/>
      <sz val="19"/>
      <color rgb="FFC0392B"/>
      <name val="Tahoma"/>
      <family val="2"/>
    </font>
    <font>
      <b/>
      <sz val="12"/>
      <color rgb="FF7A4E00"/>
      <name val="Tahoma"/>
      <family val="2"/>
    </font>
    <font>
      <b/>
      <sz val="10"/>
      <color indexed="8"/>
      <name val="Aptos"/>
      <family val="2"/>
    </font>
    <font>
      <b/>
      <sz val="11"/>
      <color rgb="FF9C3D10"/>
      <name val="Tahoma"/>
      <family val="2"/>
    </font>
    <font>
      <sz val="14"/>
      <name val="TH SarabunIT๙"/>
      <family val="2"/>
    </font>
    <font>
      <b/>
      <sz val="11"/>
      <color rgb="FFFFFFFF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1B99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878B5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auto="1"/>
      </left>
      <right/>
      <top style="thin">
        <color rgb="FFB7C9D6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B7C9D6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">
    <xf numFmtId="0" fontId="0" fillId="0" borderId="0"/>
    <xf numFmtId="0" fontId="4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164" fontId="9" fillId="0" borderId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0" fillId="0" borderId="0" applyFill="0" applyBorder="0" applyProtection="0">
      <alignment horizontal="left" wrapText="1"/>
    </xf>
    <xf numFmtId="0" fontId="1" fillId="0" borderId="0"/>
  </cellStyleXfs>
  <cellXfs count="108">
    <xf numFmtId="0" fontId="0" fillId="0" borderId="0" xfId="0"/>
    <xf numFmtId="0" fontId="11" fillId="0" borderId="0" xfId="0" applyFont="1"/>
    <xf numFmtId="14" fontId="11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5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16" fillId="0" borderId="7" xfId="0" applyFont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vertical="center"/>
    </xf>
    <xf numFmtId="0" fontId="20" fillId="8" borderId="0" xfId="15" applyFont="1" applyFill="1" applyAlignment="1">
      <alignment vertical="center"/>
    </xf>
    <xf numFmtId="0" fontId="21" fillId="8" borderId="0" xfId="15" applyFont="1" applyFill="1" applyAlignment="1">
      <alignment vertical="center" wrapText="1"/>
    </xf>
    <xf numFmtId="0" fontId="22" fillId="8" borderId="0" xfId="15" applyFont="1" applyFill="1" applyAlignment="1">
      <alignment horizontal="center" vertical="center"/>
    </xf>
    <xf numFmtId="0" fontId="16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7" fontId="24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/>
    </xf>
    <xf numFmtId="15" fontId="24" fillId="0" borderId="0" xfId="0" applyNumberFormat="1" applyFont="1" applyAlignment="1">
      <alignment horizontal="center" vertical="center"/>
    </xf>
    <xf numFmtId="0" fontId="28" fillId="9" borderId="0" xfId="0" applyFont="1" applyFill="1"/>
    <xf numFmtId="0" fontId="37" fillId="17" borderId="0" xfId="0" applyFont="1" applyFill="1"/>
    <xf numFmtId="0" fontId="37" fillId="17" borderId="16" xfId="0" applyFont="1" applyFill="1" applyBorder="1"/>
    <xf numFmtId="0" fontId="28" fillId="9" borderId="16" xfId="0" applyFont="1" applyFill="1" applyBorder="1"/>
    <xf numFmtId="0" fontId="37" fillId="18" borderId="16" xfId="0" applyFont="1" applyFill="1" applyBorder="1"/>
    <xf numFmtId="168" fontId="28" fillId="9" borderId="16" xfId="0" applyNumberFormat="1" applyFont="1" applyFill="1" applyBorder="1" applyAlignment="1">
      <alignment horizontal="right"/>
    </xf>
    <xf numFmtId="1" fontId="28" fillId="9" borderId="16" xfId="0" applyNumberFormat="1" applyFont="1" applyFill="1" applyBorder="1" applyAlignment="1">
      <alignment horizontal="right"/>
    </xf>
    <xf numFmtId="168" fontId="37" fillId="18" borderId="16" xfId="0" applyNumberFormat="1" applyFont="1" applyFill="1" applyBorder="1" applyAlignment="1">
      <alignment horizontal="right"/>
    </xf>
    <xf numFmtId="1" fontId="37" fillId="18" borderId="16" xfId="0" applyNumberFormat="1" applyFont="1" applyFill="1" applyBorder="1" applyAlignment="1">
      <alignment horizontal="right"/>
    </xf>
    <xf numFmtId="0" fontId="28" fillId="12" borderId="0" xfId="0" applyFont="1" applyFill="1"/>
    <xf numFmtId="9" fontId="28" fillId="12" borderId="0" xfId="0" applyNumberFormat="1" applyFont="1" applyFill="1"/>
    <xf numFmtId="0" fontId="37" fillId="17" borderId="15" xfId="0" applyFont="1" applyFill="1" applyBorder="1"/>
    <xf numFmtId="172" fontId="28" fillId="12" borderId="16" xfId="0" applyNumberFormat="1" applyFont="1" applyFill="1" applyBorder="1"/>
    <xf numFmtId="168" fontId="28" fillId="12" borderId="16" xfId="0" applyNumberFormat="1" applyFont="1" applyFill="1" applyBorder="1"/>
    <xf numFmtId="172" fontId="28" fillId="12" borderId="14" xfId="0" applyNumberFormat="1" applyFont="1" applyFill="1" applyBorder="1"/>
    <xf numFmtId="168" fontId="28" fillId="12" borderId="14" xfId="0" applyNumberFormat="1" applyFont="1" applyFill="1" applyBorder="1"/>
    <xf numFmtId="0" fontId="37" fillId="17" borderId="15" xfId="0" applyFont="1" applyFill="1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40" fillId="20" borderId="18" xfId="0" applyFont="1" applyFill="1" applyBorder="1"/>
    <xf numFmtId="0" fontId="27" fillId="21" borderId="19" xfId="0" applyFont="1" applyFill="1" applyBorder="1"/>
    <xf numFmtId="0" fontId="27" fillId="21" borderId="20" xfId="0" applyFont="1" applyFill="1" applyBorder="1"/>
    <xf numFmtId="0" fontId="40" fillId="20" borderId="21" xfId="0" applyFont="1" applyFill="1" applyBorder="1"/>
    <xf numFmtId="1" fontId="27" fillId="0" borderId="22" xfId="0" applyNumberFormat="1" applyFont="1" applyBorder="1"/>
    <xf numFmtId="1" fontId="27" fillId="0" borderId="23" xfId="0" applyNumberFormat="1" applyFont="1" applyBorder="1"/>
    <xf numFmtId="0" fontId="14" fillId="3" borderId="0" xfId="0" applyFont="1" applyFill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21" fillId="8" borderId="0" xfId="15" applyFont="1" applyFill="1" applyAlignment="1">
      <alignment horizontal="center" vertical="center" wrapText="1"/>
    </xf>
    <xf numFmtId="0" fontId="39" fillId="8" borderId="0" xfId="1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0" fillId="12" borderId="0" xfId="0" applyFill="1" applyAlignment="1">
      <alignment vertical="center" wrapText="1"/>
    </xf>
    <xf numFmtId="0" fontId="30" fillId="10" borderId="0" xfId="0" applyFont="1" applyFill="1" applyAlignment="1">
      <alignment vertical="center"/>
    </xf>
    <xf numFmtId="0" fontId="31" fillId="0" borderId="0" xfId="0" applyFont="1"/>
    <xf numFmtId="0" fontId="29" fillId="11" borderId="0" xfId="0" applyFont="1" applyFill="1" applyAlignment="1">
      <alignment horizontal="center"/>
    </xf>
    <xf numFmtId="168" fontId="32" fillId="12" borderId="0" xfId="0" applyNumberFormat="1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/>
    </xf>
    <xf numFmtId="169" fontId="33" fillId="12" borderId="0" xfId="0" applyNumberFormat="1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70" fontId="34" fillId="12" borderId="0" xfId="0" applyNumberFormat="1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/>
    </xf>
    <xf numFmtId="171" fontId="35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36" fillId="16" borderId="0" xfId="0" applyFont="1" applyFill="1" applyAlignment="1">
      <alignment vertical="center" wrapText="1"/>
    </xf>
    <xf numFmtId="0" fontId="29" fillId="10" borderId="0" xfId="0" applyFont="1" applyFill="1"/>
    <xf numFmtId="0" fontId="38" fillId="19" borderId="0" xfId="0" applyFont="1" applyFill="1" applyAlignment="1">
      <alignment vertical="center" wrapText="1"/>
    </xf>
  </cellXfs>
  <cellStyles count="16">
    <cellStyle name="Activity" xfId="14" xr:uid="{00000000-0005-0000-0000-000000000000}"/>
    <cellStyle name="Comma 2" xfId="8" xr:uid="{00000000-0005-0000-0000-000001000000}"/>
    <cellStyle name="Excel Built-in Normal" xfId="6" xr:uid="{00000000-0005-0000-0000-000002000000}"/>
    <cellStyle name="Explanatory Text 2" xfId="7" xr:uid="{00000000-0005-0000-0000-000003000000}"/>
    <cellStyle name="Normal" xfId="0" builtinId="0"/>
    <cellStyle name="Normal 14" xfId="1" xr:uid="{00000000-0005-0000-0000-000005000000}"/>
    <cellStyle name="Normal 14 2" xfId="9" xr:uid="{00000000-0005-0000-0000-000006000000}"/>
    <cellStyle name="Normal 14 3" xfId="10" xr:uid="{00000000-0005-0000-0000-000007000000}"/>
    <cellStyle name="Normal 14 3 2" xfId="11" xr:uid="{00000000-0005-0000-0000-000008000000}"/>
    <cellStyle name="Normal 15" xfId="5" xr:uid="{00000000-0005-0000-0000-000009000000}"/>
    <cellStyle name="Normal 2" xfId="13" xr:uid="{00000000-0005-0000-0000-00000A000000}"/>
    <cellStyle name="Normal 2 4" xfId="3" xr:uid="{00000000-0005-0000-0000-00000B000000}"/>
    <cellStyle name="Normal 3" xfId="15" xr:uid="{00000000-0005-0000-0000-00000C000000}"/>
    <cellStyle name="Normal 3 5" xfId="2" xr:uid="{00000000-0005-0000-0000-00000D000000}"/>
    <cellStyle name="Normal 4 4" xfId="4" xr:uid="{00000000-0005-0000-0000-00000E000000}"/>
    <cellStyle name="Normal 4 4 2" xfId="12" xr:uid="{00000000-0005-0000-0000-00000F000000}"/>
  </cellStyles>
  <dxfs count="9"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BSSC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Log'!$B$2:$B$32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Log'!$C$2:$C$32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99.791666666666671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46C0-AB3E-AA917B6D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45031"/>
        <c:axId val="2036547079"/>
      </c:lineChart>
      <c:dateAx>
        <c:axId val="203654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7079"/>
        <c:crosses val="autoZero"/>
        <c:auto val="0"/>
        <c:lblOffset val="100"/>
        <c:baseTimeUnit val="days"/>
        <c:majorUnit val="2"/>
        <c:majorTimeUnit val="days"/>
      </c:dateAx>
      <c:valAx>
        <c:axId val="2036547079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5031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SD-WAN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Log'!$B$33:$B$63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Log'!$C$33:$C$63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B-4A90-98AF-AB1B047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72935"/>
        <c:axId val="2037374983"/>
      </c:lineChart>
      <c:dateAx>
        <c:axId val="203737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4983"/>
        <c:crosses val="autoZero"/>
        <c:auto val="0"/>
        <c:lblOffset val="100"/>
        <c:baseTimeUnit val="days"/>
        <c:majorUnit val="2"/>
        <c:majorTimeUnit val="days"/>
      </c:dateAx>
      <c:valAx>
        <c:axId val="20373749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2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Microwave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Log'!$B$64:$B$94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Log'!$C$64:$C$94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99.652777777777786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FC5-B040-DC3752E4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3031"/>
        <c:axId val="2040075783"/>
      </c:lineChart>
      <c:dateAx>
        <c:axId val="203987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75783"/>
        <c:crosses val="autoZero"/>
        <c:auto val="0"/>
        <c:lblOffset val="100"/>
        <c:baseTimeUnit val="days"/>
        <c:majorUnit val="2"/>
        <c:majorTimeUnit val="days"/>
      </c:dateAx>
      <c:valAx>
        <c:axId val="20400757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3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Dispatcher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BF7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Log'!$B$95:$B$125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Log'!$C$95:$C$125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99.305555555555557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8-4E87-BE2A-F8E97B9D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873479"/>
        <c:axId val="2040875527"/>
      </c:lineChart>
      <c:dateAx>
        <c:axId val="2040873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5527"/>
        <c:crosses val="autoZero"/>
        <c:auto val="0"/>
        <c:lblOffset val="100"/>
        <c:baseTimeUnit val="days"/>
        <c:majorUnit val="2"/>
        <c:majorTimeUnit val="days"/>
      </c:dateAx>
      <c:valAx>
        <c:axId val="2040875527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4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station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7-4805-8AAE-7CA68F5BE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7-4805-8AAE-7CA68F5BEE6F}"/>
              </c:ext>
            </c:extLst>
          </c:dPt>
          <c:dLbls>
            <c:numFmt formatCode="0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Overview!$T$8:$T$9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Overview!$U$8:$U$9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7-4805-8AAE-7CA68F5B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Gateway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D-47EE-B705-8A0AB9AC1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D-47EE-B705-8A0AB9AC1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Overview!$T$11:$T$12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Overview!$U$11:$U$12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D-47EE-B705-8A0AB9AC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แนวโน้ม </a:t>
            </a:r>
            <a:r>
              <a:rPr lang="en-US"/>
              <a:t>Online </a:t>
            </a:r>
            <a:r>
              <a:rPr lang="th-TH"/>
              <a:t>รายวัน — 4 ระบบ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วิเคราะห์ข้อมูล!$B$28</c:f>
              <c:strCache>
                <c:ptCount val="1"/>
                <c:pt idx="0">
                  <c:v>BSSC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วิเคราะห์ข้อมูล!$B$29:$B$59</c:f>
              <c:numCache>
                <c:formatCode>0.00\%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99.791666666666671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3-435F-A671-A3C6F9A4EC70}"/>
            </c:ext>
          </c:extLst>
        </c:ser>
        <c:ser>
          <c:idx val="1"/>
          <c:order val="1"/>
          <c:tx>
            <c:strRef>
              <c:f>วิเคราะห์ข้อมูล!$C$28</c:f>
              <c:strCache>
                <c:ptCount val="1"/>
                <c:pt idx="0">
                  <c:v>SD-WAN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วิเคราะห์ข้อมูล!$C$29:$C$59</c:f>
              <c:numCache>
                <c:formatCode>0.00\%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3-435F-A671-A3C6F9A4EC70}"/>
            </c:ext>
          </c:extLst>
        </c:ser>
        <c:ser>
          <c:idx val="2"/>
          <c:order val="2"/>
          <c:tx>
            <c:strRef>
              <c:f>วิเคราะห์ข้อมูล!$D$28</c:f>
              <c:strCache>
                <c:ptCount val="1"/>
                <c:pt idx="0">
                  <c:v>Microwave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วิเคราะห์ข้อมูล!$D$29:$D$59</c:f>
              <c:numCache>
                <c:formatCode>0.00\%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99.652777777777786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13-435F-A671-A3C6F9A4EC70}"/>
            </c:ext>
          </c:extLst>
        </c:ser>
        <c:ser>
          <c:idx val="3"/>
          <c:order val="3"/>
          <c:tx>
            <c:strRef>
              <c:f>วิเคราะห์ข้อมูล!$E$28</c:f>
              <c:strCache>
                <c:ptCount val="1"/>
                <c:pt idx="0">
                  <c:v>Dispatcher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วิเคราะห์ข้อมูล!$E$29:$E$59</c:f>
              <c:numCache>
                <c:formatCode>0.00\%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99.305555555555557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13-435F-A671-A3C6F9A4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766664"/>
        <c:axId val="1156560904"/>
      </c:lineChart>
      <c:dateAx>
        <c:axId val="1141766664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904"/>
        <c:crosses val="autoZero"/>
        <c:auto val="0"/>
        <c:lblOffset val="100"/>
        <c:baseTimeUnit val="days"/>
        <c:majorUnit val="5"/>
        <c:majorTimeUnit val="days"/>
      </c:dateAx>
      <c:valAx>
        <c:axId val="1156560904"/>
        <c:scaling>
          <c:orientation val="minMax"/>
          <c:max val="100"/>
          <c:min val="99.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</a:t>
            </a:r>
            <a:r>
              <a:rPr lang="th-TH"/>
              <a:t>สะสมรายระบบ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วิเคราะห์ข้อมูล!$C$13</c:f>
              <c:strCache>
                <c:ptCount val="1"/>
                <c:pt idx="0">
                  <c:v>Downtime (นาที)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วิเคราะห์ข้อมูล!$A$14:$A$17</c:f>
              <c:strCache>
                <c:ptCount val="4"/>
                <c:pt idx="0">
                  <c:v>BSSC</c:v>
                </c:pt>
                <c:pt idx="1">
                  <c:v>SD-WAN</c:v>
                </c:pt>
                <c:pt idx="2">
                  <c:v>Microwave</c:v>
                </c:pt>
                <c:pt idx="3">
                  <c:v>Dispatcher</c:v>
                </c:pt>
              </c:strCache>
            </c:strRef>
          </c:cat>
          <c:val>
            <c:numRef>
              <c:f>วิเคราะห์ข้อมูล!$C$14:$C$17</c:f>
              <c:numCache>
                <c:formatCode>0</c:formatCode>
                <c:ptCount val="4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8-4ECD-92BA-FA2F5327B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5833096"/>
        <c:axId val="1215835144"/>
      </c:barChart>
      <c:catAx>
        <c:axId val="121583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35144"/>
        <c:crosses val="autoZero"/>
        <c:auto val="1"/>
        <c:lblAlgn val="ctr"/>
        <c:lblOffset val="100"/>
        <c:noMultiLvlLbl val="0"/>
      </c:catAx>
      <c:valAx>
        <c:axId val="121583514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นาที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3309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0</xdr:row>
      <xdr:rowOff>106680</xdr:rowOff>
    </xdr:from>
    <xdr:to>
      <xdr:col>2</xdr:col>
      <xdr:colOff>244828</xdr:colOff>
      <xdr:row>1</xdr:row>
      <xdr:rowOff>42107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4C02D-21B5-4BBA-B7B1-7D016BCC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542008" cy="8422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396240</xdr:colOff>
      <xdr:row>0</xdr:row>
      <xdr:rowOff>327660</xdr:rowOff>
    </xdr:from>
    <xdr:to>
      <xdr:col>16</xdr:col>
      <xdr:colOff>504316</xdr:colOff>
      <xdr:row>0</xdr:row>
      <xdr:rowOff>588023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50019-DBB5-4825-896E-A1C4097A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556260"/>
          <a:ext cx="923416" cy="2603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400050</xdr:colOff>
      <xdr:row>29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D6130-7DAF-4623-827D-7B2E9EC291CC}"/>
            </a:ext>
            <a:ext uri="{147F2762-F138-4A5C-976F-8EAC2B608ADB}">
              <a16:predDERef xmlns:a16="http://schemas.microsoft.com/office/drawing/2014/main" pred="{21A50019-DBB5-4825-896E-A1C4097A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438150</xdr:colOff>
      <xdr:row>29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FB15E-F073-4200-9504-2FF22F0D8CD0}"/>
            </a:ext>
            <a:ext uri="{147F2762-F138-4A5C-976F-8EAC2B608ADB}">
              <a16:predDERef xmlns:a16="http://schemas.microsoft.com/office/drawing/2014/main" pred="{CB7D6130-7DAF-4623-827D-7B2E9EC2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8</xdr:col>
      <xdr:colOff>400050</xdr:colOff>
      <xdr:row>37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6EF6CD-3E74-4257-BD4C-5A011F917FB4}"/>
            </a:ext>
            <a:ext uri="{147F2762-F138-4A5C-976F-8EAC2B608ADB}">
              <a16:predDERef xmlns:a16="http://schemas.microsoft.com/office/drawing/2014/main" pred="{9A7FB15E-F073-4200-9504-2FF22F0D8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438150</xdr:colOff>
      <xdr:row>37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D8F7BB-C644-4CE5-BD78-4C215859AE82}"/>
            </a:ext>
            <a:ext uri="{147F2762-F138-4A5C-976F-8EAC2B608ADB}">
              <a16:predDERef xmlns:a16="http://schemas.microsoft.com/office/drawing/2014/main" pred="{4E6EF6CD-3E74-4257-BD4C-5A011F917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8</xdr:col>
      <xdr:colOff>419100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8754-ECA4-4864-8824-13C6BFBFC3D2}"/>
            </a:ext>
            <a:ext uri="{147F2762-F138-4A5C-976F-8EAC2B608ADB}">
              <a16:predDERef xmlns:a16="http://schemas.microsoft.com/office/drawing/2014/main" pred="{8ED8F7BB-C644-4CE5-BD78-4C215859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438150</xdr:colOff>
      <xdr:row>21</xdr:row>
      <xdr:rowOff>142875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AACA8C4-7FD6-4B19-B86B-D6D8ADD6F30B}"/>
            </a:ext>
            <a:ext uri="{147F2762-F138-4A5C-976F-8EAC2B608ADB}">
              <a16:predDERef xmlns:a16="http://schemas.microsoft.com/office/drawing/2014/main" pred="{0C338754-ECA4-4864-8824-13C6BFBFC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แนวโน้ม Online รายวัน">
          <a:extLst>
            <a:ext uri="{FF2B5EF4-FFF2-40B4-BE49-F238E27FC236}">
              <a16:creationId xmlns:a16="http://schemas.microsoft.com/office/drawing/2014/main" id="{CCB36D07-ED7E-49E3-7B72-A551F5F8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3" name="Downtime รายระบบ">
          <a:extLst>
            <a:ext uri="{FF2B5EF4-FFF2-40B4-BE49-F238E27FC236}">
              <a16:creationId xmlns:a16="http://schemas.microsoft.com/office/drawing/2014/main" id="{6CDB28FF-CD2F-6CC8-6E51-35638946DF3F}"/>
            </a:ext>
            <a:ext uri="{147F2762-F138-4A5C-976F-8EAC2B608ADB}">
              <a16:predDERef xmlns:a16="http://schemas.microsoft.com/office/drawing/2014/main" pred="{CCB36D07-ED7E-49E3-7B72-A551F5F8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X336"/>
  <sheetViews>
    <sheetView topLeftCell="A31" zoomScale="85" zoomScaleNormal="85" zoomScaleSheetLayoutView="70" workbookViewId="0">
      <selection activeCell="T8" sqref="T8"/>
    </sheetView>
  </sheetViews>
  <sheetFormatPr defaultColWidth="9" defaultRowHeight="42" x14ac:dyDescent="0.5"/>
  <cols>
    <col min="1" max="1" width="2.69921875" style="1" customWidth="1"/>
    <col min="2" max="2" width="10.69921875" style="3" customWidth="1"/>
    <col min="3" max="3" width="12.59765625" style="4" bestFit="1" customWidth="1"/>
    <col min="4" max="4" width="10.69921875" style="5" customWidth="1"/>
    <col min="5" max="9" width="10.69921875" style="1" customWidth="1"/>
    <col min="10" max="10" width="10.69921875" style="5" customWidth="1"/>
    <col min="11" max="14" width="10.69921875" style="1" customWidth="1"/>
    <col min="15" max="17" width="10.69921875" style="6" customWidth="1"/>
    <col min="18" max="18" width="5.19921875" style="1" customWidth="1"/>
    <col min="19" max="16384" width="9" style="1"/>
  </cols>
  <sheetData>
    <row r="1" spans="2:24" ht="71.400000000000006" customHeight="1" x14ac:dyDescent="0.5">
      <c r="B1" s="30"/>
      <c r="C1" s="31"/>
      <c r="D1" s="83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32"/>
      <c r="Q1" s="32"/>
      <c r="U1" s="82"/>
      <c r="V1" s="82"/>
      <c r="W1" s="82"/>
      <c r="X1" s="30"/>
    </row>
    <row r="2" spans="2:24" ht="25.2" customHeight="1" x14ac:dyDescent="0.5"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2:24" ht="31.95" customHeight="1" x14ac:dyDescent="0.5"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2:24" ht="21" x14ac:dyDescent="0.5">
      <c r="B4" s="28" t="s">
        <v>2</v>
      </c>
      <c r="C4" s="29">
        <f ca="1">TODAY()</f>
        <v>46275</v>
      </c>
      <c r="D4" s="2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24" ht="21" x14ac:dyDescent="0.5">
      <c r="B5" s="89" t="s">
        <v>3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2:24" ht="39.6" customHeight="1" x14ac:dyDescent="0.5">
      <c r="B6" s="86" t="s">
        <v>4</v>
      </c>
      <c r="C6" s="86"/>
      <c r="D6" s="86"/>
      <c r="E6" s="86"/>
      <c r="F6" s="85" t="s">
        <v>5</v>
      </c>
      <c r="G6" s="85"/>
      <c r="H6" s="85"/>
      <c r="I6" s="85"/>
      <c r="J6" s="85" t="s">
        <v>6</v>
      </c>
      <c r="K6" s="85"/>
      <c r="L6" s="85"/>
      <c r="M6" s="85"/>
      <c r="N6" s="88" t="s">
        <v>7</v>
      </c>
      <c r="O6" s="88"/>
      <c r="P6" s="88"/>
      <c r="Q6" s="88"/>
    </row>
    <row r="7" spans="2:24" ht="16.95" customHeight="1" x14ac:dyDescent="0.5">
      <c r="B7" s="87" t="str">
        <f>" สถานะ : "&amp;Overview!$W$3</f>
        <v xml:space="preserve"> สถานะ : ปกติ / Normal</v>
      </c>
      <c r="C7" s="87"/>
      <c r="D7" s="87"/>
      <c r="E7" s="87"/>
      <c r="F7" s="87" t="str">
        <f>" สถานะ : "&amp;Overview!$W$4</f>
        <v xml:space="preserve"> สถานะ : ปกติ / Normal</v>
      </c>
      <c r="G7" s="87"/>
      <c r="H7" s="87"/>
      <c r="I7" s="87"/>
      <c r="J7" s="87" t="str">
        <f>" สถานะ : "&amp;Overview!$W$5</f>
        <v xml:space="preserve"> สถานะ : ปกติ / Normal</v>
      </c>
      <c r="K7" s="87"/>
      <c r="L7" s="87"/>
      <c r="M7" s="87"/>
      <c r="N7" s="87" t="str">
        <f>" สถานะ : "&amp;Overview!$W$6</f>
        <v xml:space="preserve"> สถานะ : ปกติ / Normal</v>
      </c>
      <c r="O7" s="87"/>
      <c r="P7" s="87"/>
      <c r="Q7" s="87"/>
    </row>
    <row r="8" spans="2:24" ht="2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2:24" ht="27" customHeight="1" x14ac:dyDescent="0.5">
      <c r="B9" s="78" t="s">
        <v>8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</row>
    <row r="10" spans="2:24" ht="27" customHeight="1" x14ac:dyDescent="0.5">
      <c r="B10" s="79" t="s">
        <v>9</v>
      </c>
      <c r="C10" s="79"/>
      <c r="D10" s="79"/>
      <c r="E10" s="79"/>
      <c r="F10" s="80" t="s">
        <v>10</v>
      </c>
      <c r="G10" s="81"/>
      <c r="H10" s="81"/>
      <c r="I10" s="81"/>
      <c r="J10" s="79" t="s">
        <v>11</v>
      </c>
      <c r="K10" s="79"/>
      <c r="L10" s="79"/>
      <c r="M10" s="79"/>
      <c r="N10" s="79"/>
      <c r="O10" s="79"/>
      <c r="P10" s="79"/>
      <c r="Q10" s="79"/>
    </row>
    <row r="11" spans="2:24" ht="25.2" customHeight="1" x14ac:dyDescent="0.5">
      <c r="B11" s="75" t="s">
        <v>12</v>
      </c>
      <c r="C11" s="75"/>
      <c r="D11" s="75"/>
      <c r="E11" s="75"/>
      <c r="F11" s="76" t="str">
        <f>IF(COUNTIF(Overview!$W$3:$W$6,"ขัดข้อง / Down")=0,"ปกติ / Normal","มีเหตุขัดข้อง / Down")</f>
        <v>ปกติ / Normal</v>
      </c>
      <c r="G11" s="77"/>
      <c r="H11" s="77"/>
      <c r="I11" s="77"/>
      <c r="J11" s="75" t="str">
        <f>IF(COUNTIF(Overview!$W$3:$W$5,"Down / ขัดข้อง")=0,"ระบบให้บริการตามปกติ / All systems operate normally","Action required: see system status sheet / มีระบบที่ต้องเร่งตรวจสอบ โปรดดูชีตข้อมูลสถานะระบบ")</f>
        <v>ระบบให้บริการตามปกติ / All systems operate normally</v>
      </c>
      <c r="K11" s="75"/>
      <c r="L11" s="75"/>
      <c r="M11" s="75"/>
      <c r="N11" s="75"/>
      <c r="O11" s="75"/>
      <c r="P11" s="75"/>
      <c r="Q11" s="75"/>
    </row>
    <row r="12" spans="2:24" ht="25.2" customHeight="1" x14ac:dyDescent="0.5">
      <c r="B12" s="75" t="s">
        <v>13</v>
      </c>
      <c r="C12" s="75"/>
      <c r="D12" s="75"/>
      <c r="E12" s="75"/>
      <c r="F12" s="76" t="str">
        <f>COUNTA(Overview!$A$5:$A$20)&amp;" จุด  "</f>
        <v xml:space="preserve">16 จุด  </v>
      </c>
      <c r="G12" s="77"/>
      <c r="H12" s="77"/>
      <c r="I12" s="77"/>
      <c r="J12" s="75" t="s">
        <v>14</v>
      </c>
      <c r="K12" s="75"/>
      <c r="L12" s="75"/>
      <c r="M12" s="75"/>
      <c r="N12" s="75"/>
      <c r="O12" s="75"/>
      <c r="P12" s="75"/>
      <c r="Q12" s="75"/>
    </row>
    <row r="13" spans="2:24" ht="25.2" customHeight="1" x14ac:dyDescent="0.5">
      <c r="B13" s="75" t="s">
        <v>15</v>
      </c>
      <c r="C13" s="75"/>
      <c r="D13" s="75"/>
      <c r="E13" s="75"/>
      <c r="F13" s="76" t="str">
        <f>Overview!$Q21&amp;" รายการ / items"</f>
        <v>0 รายการ / items</v>
      </c>
      <c r="G13" s="77"/>
      <c r="H13" s="77"/>
      <c r="I13" s="77"/>
      <c r="J13" s="75" t="str">
        <f>IF(Overview!$Q21=0,"ไม่มีรายการรอแก้ไข / No pending","มีรายการติดตามในชีตรายละเอียดจุดตรวจสอบ / See Station Details for follow-up")</f>
        <v>ไม่มีรายการรอแก้ไข / No pending</v>
      </c>
      <c r="K13" s="75"/>
      <c r="L13" s="75"/>
      <c r="M13" s="75"/>
      <c r="N13" s="75"/>
      <c r="O13" s="75"/>
      <c r="P13" s="75"/>
      <c r="Q13" s="75"/>
    </row>
    <row r="14" spans="2:24" ht="25.2" customHeight="1" x14ac:dyDescent="0.5">
      <c r="B14" s="60"/>
      <c r="C14" s="60"/>
      <c r="D14" s="60"/>
      <c r="E14" s="60"/>
      <c r="F14" s="61"/>
      <c r="G14" s="61"/>
      <c r="H14" s="61"/>
      <c r="I14" s="61"/>
      <c r="J14" s="60"/>
      <c r="K14" s="60"/>
      <c r="L14" s="60"/>
      <c r="M14" s="60"/>
      <c r="N14" s="60"/>
      <c r="O14" s="60"/>
      <c r="P14" s="60"/>
      <c r="Q14" s="60"/>
    </row>
    <row r="15" spans="2:24" ht="25.2" customHeight="1" x14ac:dyDescent="0.5">
      <c r="B15" s="60"/>
      <c r="C15" s="60"/>
      <c r="D15" s="60"/>
      <c r="E15" s="60"/>
      <c r="F15" s="61"/>
      <c r="G15" s="61"/>
      <c r="H15" s="61"/>
      <c r="I15" s="61"/>
      <c r="J15" s="60"/>
      <c r="K15" s="60"/>
      <c r="L15" s="60"/>
      <c r="M15" s="60"/>
      <c r="N15" s="60"/>
      <c r="O15" s="60"/>
      <c r="P15" s="60"/>
      <c r="Q15" s="60"/>
    </row>
    <row r="16" spans="2:24" ht="27" customHeight="1" x14ac:dyDescent="0.6">
      <c r="B16" s="8"/>
      <c r="C16" s="1"/>
      <c r="D16" s="2"/>
      <c r="J16" s="1"/>
      <c r="O16" s="1"/>
      <c r="P16" s="1"/>
      <c r="Q16" s="1"/>
    </row>
    <row r="17" spans="2:17" ht="25.2" customHeight="1" x14ac:dyDescent="0.5">
      <c r="B17" s="60"/>
      <c r="C17" s="60"/>
      <c r="D17" s="60"/>
      <c r="E17" s="60"/>
      <c r="F17" s="61"/>
      <c r="G17" s="61"/>
      <c r="H17" s="61"/>
      <c r="I17" s="61"/>
      <c r="J17" s="60"/>
      <c r="K17" s="60"/>
      <c r="L17" s="60"/>
      <c r="M17" s="60"/>
      <c r="N17" s="60"/>
      <c r="O17" s="60"/>
      <c r="P17" s="60"/>
      <c r="Q17" s="60"/>
    </row>
    <row r="18" spans="2:17" ht="25.2" customHeight="1" x14ac:dyDescent="0.5">
      <c r="B18" s="60"/>
      <c r="C18" s="60"/>
      <c r="D18" s="60"/>
      <c r="E18" s="60"/>
      <c r="F18" s="61"/>
      <c r="G18" s="61"/>
      <c r="H18" s="61"/>
      <c r="I18" s="61"/>
      <c r="J18" s="60"/>
      <c r="K18" s="60"/>
      <c r="L18" s="60"/>
      <c r="M18" s="60"/>
      <c r="N18" s="60"/>
      <c r="O18" s="60"/>
      <c r="P18" s="60"/>
      <c r="Q18" s="60"/>
    </row>
    <row r="19" spans="2:17" ht="25.2" customHeight="1" x14ac:dyDescent="0.5">
      <c r="B19" s="60"/>
      <c r="C19" s="60"/>
      <c r="D19" s="60"/>
      <c r="E19" s="60"/>
      <c r="F19" s="61"/>
      <c r="G19" s="61"/>
      <c r="H19" s="61"/>
      <c r="I19" s="61"/>
      <c r="J19" s="60"/>
      <c r="K19" s="60"/>
      <c r="L19" s="60"/>
      <c r="M19" s="60"/>
      <c r="N19" s="60"/>
      <c r="O19" s="60"/>
      <c r="P19" s="60"/>
      <c r="Q19" s="60"/>
    </row>
    <row r="20" spans="2:17" ht="27" customHeight="1" x14ac:dyDescent="0.6">
      <c r="B20" s="8"/>
      <c r="C20" s="1"/>
      <c r="D20" s="2"/>
      <c r="J20" s="1"/>
      <c r="O20" s="1"/>
      <c r="P20" s="1"/>
      <c r="Q20" s="1"/>
    </row>
    <row r="21" spans="2:17" ht="27" customHeight="1" x14ac:dyDescent="0.6">
      <c r="B21" s="8"/>
      <c r="C21" s="1"/>
      <c r="D21" s="2"/>
      <c r="J21" s="1"/>
      <c r="O21" s="1"/>
      <c r="P21" s="1"/>
      <c r="Q21" s="1"/>
    </row>
    <row r="22" spans="2:17" ht="27" customHeight="1" x14ac:dyDescent="0.6">
      <c r="B22" s="8"/>
      <c r="C22" s="1"/>
      <c r="D22" s="2"/>
      <c r="J22" s="1"/>
      <c r="O22" s="1"/>
      <c r="P22" s="1"/>
      <c r="Q22" s="1"/>
    </row>
    <row r="23" spans="2:17" ht="27" customHeight="1" x14ac:dyDescent="0.5">
      <c r="E23" s="2"/>
    </row>
    <row r="24" spans="2:17" ht="27" customHeight="1" x14ac:dyDescent="0.5"/>
    <row r="25" spans="2:17" ht="27" customHeight="1" x14ac:dyDescent="0.5"/>
    <row r="26" spans="2:17" ht="27" customHeight="1" x14ac:dyDescent="0.5"/>
    <row r="27" spans="2:17" ht="27" customHeight="1" x14ac:dyDescent="0.5"/>
    <row r="28" spans="2:17" ht="27" customHeight="1" x14ac:dyDescent="0.5"/>
    <row r="29" spans="2:17" ht="27" customHeight="1" x14ac:dyDescent="0.5"/>
    <row r="30" spans="2:17" ht="27" customHeight="1" x14ac:dyDescent="0.5"/>
    <row r="31" spans="2:17" ht="27" customHeight="1" x14ac:dyDescent="0.5"/>
    <row r="32" spans="2:17" ht="27" customHeight="1" x14ac:dyDescent="0.5"/>
    <row r="33" ht="27" customHeight="1" x14ac:dyDescent="0.5"/>
    <row r="34" ht="27" customHeight="1" x14ac:dyDescent="0.5"/>
    <row r="35" ht="27" customHeight="1" x14ac:dyDescent="0.5"/>
    <row r="36" ht="27" customHeight="1" x14ac:dyDescent="0.5"/>
    <row r="37" ht="27" customHeight="1" x14ac:dyDescent="0.5"/>
    <row r="38" ht="27" customHeight="1" x14ac:dyDescent="0.5"/>
    <row r="39" ht="27" customHeight="1" x14ac:dyDescent="0.5"/>
    <row r="40" ht="27" customHeight="1" x14ac:dyDescent="0.5"/>
    <row r="41" ht="27" customHeight="1" x14ac:dyDescent="0.5"/>
    <row r="42" ht="27" customHeight="1" x14ac:dyDescent="0.5"/>
    <row r="43" ht="27" customHeight="1" x14ac:dyDescent="0.5"/>
    <row r="44" ht="27" customHeight="1" x14ac:dyDescent="0.5"/>
    <row r="45" ht="27" customHeight="1" x14ac:dyDescent="0.5"/>
    <row r="46" ht="27" customHeight="1" x14ac:dyDescent="0.5"/>
    <row r="47" ht="27" customHeight="1" x14ac:dyDescent="0.5"/>
    <row r="48" ht="27" customHeight="1" x14ac:dyDescent="0.5"/>
    <row r="49" ht="27" customHeight="1" x14ac:dyDescent="0.5"/>
    <row r="50" ht="27" customHeight="1" x14ac:dyDescent="0.5"/>
    <row r="51" ht="27" customHeight="1" x14ac:dyDescent="0.5"/>
    <row r="52" ht="27" customHeight="1" x14ac:dyDescent="0.5"/>
    <row r="53" ht="27" customHeight="1" x14ac:dyDescent="0.5"/>
    <row r="54" ht="27" customHeight="1" x14ac:dyDescent="0.5"/>
    <row r="55" ht="27" customHeight="1" x14ac:dyDescent="0.5"/>
    <row r="56" ht="27" customHeight="1" x14ac:dyDescent="0.5"/>
    <row r="57" ht="27" customHeight="1" x14ac:dyDescent="0.5"/>
    <row r="58" ht="27" customHeight="1" x14ac:dyDescent="0.5"/>
    <row r="59" ht="27" customHeight="1" x14ac:dyDescent="0.5"/>
    <row r="60" ht="27" customHeight="1" x14ac:dyDescent="0.5"/>
    <row r="61" ht="27" customHeight="1" x14ac:dyDescent="0.5"/>
    <row r="62" ht="27" customHeight="1" x14ac:dyDescent="0.5"/>
    <row r="63" ht="27" customHeight="1" x14ac:dyDescent="0.5"/>
    <row r="64" ht="27" customHeight="1" x14ac:dyDescent="0.5"/>
    <row r="65" ht="27" customHeight="1" x14ac:dyDescent="0.5"/>
    <row r="66" ht="27" customHeight="1" x14ac:dyDescent="0.5"/>
    <row r="67" ht="27" customHeight="1" x14ac:dyDescent="0.5"/>
    <row r="68" ht="27" customHeight="1" x14ac:dyDescent="0.5"/>
    <row r="69" ht="27" customHeight="1" x14ac:dyDescent="0.5"/>
    <row r="70" ht="27" customHeight="1" x14ac:dyDescent="0.5"/>
    <row r="71" ht="27" customHeight="1" x14ac:dyDescent="0.5"/>
    <row r="72" ht="27" customHeight="1" x14ac:dyDescent="0.5"/>
    <row r="73" ht="27" customHeight="1" x14ac:dyDescent="0.5"/>
    <row r="74" ht="27" customHeight="1" x14ac:dyDescent="0.5"/>
    <row r="75" ht="27" customHeight="1" x14ac:dyDescent="0.5"/>
    <row r="76" ht="27" customHeight="1" x14ac:dyDescent="0.5"/>
    <row r="77" ht="27" customHeight="1" x14ac:dyDescent="0.5"/>
    <row r="78" ht="27" customHeight="1" x14ac:dyDescent="0.5"/>
    <row r="79" ht="27" customHeight="1" x14ac:dyDescent="0.5"/>
    <row r="80" ht="27" customHeight="1" x14ac:dyDescent="0.5"/>
    <row r="81" ht="27" customHeight="1" x14ac:dyDescent="0.5"/>
    <row r="82" ht="27" customHeight="1" x14ac:dyDescent="0.5"/>
    <row r="83" ht="27" customHeight="1" x14ac:dyDescent="0.5"/>
    <row r="84" ht="27" customHeight="1" x14ac:dyDescent="0.5"/>
    <row r="85" ht="27" customHeight="1" x14ac:dyDescent="0.5"/>
    <row r="86" ht="27" customHeight="1" x14ac:dyDescent="0.5"/>
    <row r="87" ht="27" customHeight="1" x14ac:dyDescent="0.5"/>
    <row r="88" ht="27" customHeight="1" x14ac:dyDescent="0.5"/>
    <row r="89" ht="27" customHeight="1" x14ac:dyDescent="0.5"/>
    <row r="90" ht="27" customHeight="1" x14ac:dyDescent="0.5"/>
    <row r="91" ht="27" customHeight="1" x14ac:dyDescent="0.5"/>
    <row r="92" ht="27" customHeight="1" x14ac:dyDescent="0.5"/>
    <row r="93" ht="27" customHeight="1" x14ac:dyDescent="0.5"/>
    <row r="94" ht="27" customHeight="1" x14ac:dyDescent="0.5"/>
    <row r="95" ht="27" customHeight="1" x14ac:dyDescent="0.5"/>
    <row r="96" ht="27" customHeight="1" x14ac:dyDescent="0.5"/>
    <row r="97" ht="27" customHeight="1" x14ac:dyDescent="0.5"/>
    <row r="98" ht="27" customHeight="1" x14ac:dyDescent="0.5"/>
    <row r="99" ht="27" customHeight="1" x14ac:dyDescent="0.5"/>
    <row r="100" ht="27" customHeight="1" x14ac:dyDescent="0.5"/>
    <row r="101" ht="27" customHeight="1" x14ac:dyDescent="0.5"/>
    <row r="102" ht="27" customHeight="1" x14ac:dyDescent="0.5"/>
    <row r="103" ht="27" customHeight="1" x14ac:dyDescent="0.5"/>
    <row r="104" ht="27" customHeight="1" x14ac:dyDescent="0.5"/>
    <row r="105" ht="27" customHeight="1" x14ac:dyDescent="0.5"/>
    <row r="106" ht="27" customHeight="1" x14ac:dyDescent="0.5"/>
    <row r="107" ht="27" customHeight="1" x14ac:dyDescent="0.5"/>
    <row r="108" ht="27" customHeight="1" x14ac:dyDescent="0.5"/>
    <row r="109" ht="27" customHeight="1" x14ac:dyDescent="0.5"/>
    <row r="110" ht="27" customHeight="1" x14ac:dyDescent="0.5"/>
    <row r="111" ht="27" customHeight="1" x14ac:dyDescent="0.5"/>
    <row r="112" ht="27" customHeight="1" x14ac:dyDescent="0.5"/>
    <row r="113" ht="27" customHeight="1" x14ac:dyDescent="0.5"/>
    <row r="114" ht="27" customHeight="1" x14ac:dyDescent="0.5"/>
    <row r="115" ht="27" customHeight="1" x14ac:dyDescent="0.5"/>
    <row r="116" ht="27" customHeight="1" x14ac:dyDescent="0.5"/>
    <row r="117" ht="27" customHeight="1" x14ac:dyDescent="0.5"/>
    <row r="118" ht="27" customHeight="1" x14ac:dyDescent="0.5"/>
    <row r="119" ht="27" customHeight="1" x14ac:dyDescent="0.5"/>
    <row r="120" ht="27" customHeight="1" x14ac:dyDescent="0.5"/>
    <row r="121" ht="27" customHeight="1" x14ac:dyDescent="0.5"/>
    <row r="122" ht="27" customHeight="1" x14ac:dyDescent="0.5"/>
    <row r="123" ht="27" customHeight="1" x14ac:dyDescent="0.5"/>
    <row r="124" ht="27" customHeight="1" x14ac:dyDescent="0.5"/>
    <row r="125" ht="27" customHeight="1" x14ac:dyDescent="0.5"/>
    <row r="126" ht="27" customHeight="1" x14ac:dyDescent="0.5"/>
    <row r="127" ht="27" customHeight="1" x14ac:dyDescent="0.5"/>
    <row r="128" ht="27" customHeight="1" x14ac:dyDescent="0.5"/>
    <row r="129" ht="27" customHeight="1" x14ac:dyDescent="0.5"/>
    <row r="130" ht="27" customHeight="1" x14ac:dyDescent="0.5"/>
    <row r="131" ht="27" customHeight="1" x14ac:dyDescent="0.5"/>
    <row r="132" ht="27" customHeight="1" x14ac:dyDescent="0.5"/>
    <row r="133" ht="27" customHeight="1" x14ac:dyDescent="0.5"/>
    <row r="134" ht="27" customHeight="1" x14ac:dyDescent="0.5"/>
    <row r="135" ht="27" customHeight="1" x14ac:dyDescent="0.5"/>
    <row r="136" ht="27" customHeight="1" x14ac:dyDescent="0.5"/>
    <row r="137" ht="27" customHeight="1" x14ac:dyDescent="0.5"/>
    <row r="138" ht="27" customHeight="1" x14ac:dyDescent="0.5"/>
    <row r="139" ht="27" customHeight="1" x14ac:dyDescent="0.5"/>
    <row r="140" ht="27" customHeight="1" x14ac:dyDescent="0.5"/>
    <row r="141" ht="27" customHeight="1" x14ac:dyDescent="0.5"/>
    <row r="142" ht="27" customHeight="1" x14ac:dyDescent="0.5"/>
    <row r="143" ht="27" customHeight="1" x14ac:dyDescent="0.5"/>
    <row r="144" ht="27" customHeight="1" x14ac:dyDescent="0.5"/>
    <row r="145" ht="27" customHeight="1" x14ac:dyDescent="0.5"/>
    <row r="146" ht="27" customHeight="1" x14ac:dyDescent="0.5"/>
    <row r="147" ht="27" customHeight="1" x14ac:dyDescent="0.5"/>
    <row r="148" ht="27" customHeight="1" x14ac:dyDescent="0.5"/>
    <row r="149" ht="27" customHeight="1" x14ac:dyDescent="0.5"/>
    <row r="150" ht="27" customHeight="1" x14ac:dyDescent="0.5"/>
    <row r="151" ht="27" customHeight="1" x14ac:dyDescent="0.5"/>
    <row r="152" ht="27" customHeight="1" x14ac:dyDescent="0.5"/>
    <row r="153" ht="27" customHeight="1" x14ac:dyDescent="0.5"/>
    <row r="154" ht="27" customHeight="1" x14ac:dyDescent="0.5"/>
    <row r="155" ht="27" customHeight="1" x14ac:dyDescent="0.5"/>
    <row r="156" ht="27" customHeight="1" x14ac:dyDescent="0.5"/>
    <row r="157" ht="27" customHeight="1" x14ac:dyDescent="0.5"/>
    <row r="158" ht="27" customHeight="1" x14ac:dyDescent="0.5"/>
    <row r="159" ht="27" customHeight="1" x14ac:dyDescent="0.5"/>
    <row r="160" ht="27" customHeight="1" x14ac:dyDescent="0.5"/>
    <row r="161" ht="27" customHeight="1" x14ac:dyDescent="0.5"/>
    <row r="162" ht="27" customHeight="1" x14ac:dyDescent="0.5"/>
    <row r="163" ht="27" customHeight="1" x14ac:dyDescent="0.5"/>
    <row r="164" ht="27" customHeight="1" x14ac:dyDescent="0.5"/>
    <row r="165" ht="27" customHeight="1" x14ac:dyDescent="0.5"/>
    <row r="166" ht="27" customHeight="1" x14ac:dyDescent="0.5"/>
    <row r="167" ht="27" customHeight="1" x14ac:dyDescent="0.5"/>
    <row r="168" ht="27" customHeight="1" x14ac:dyDescent="0.5"/>
    <row r="169" ht="27" customHeight="1" x14ac:dyDescent="0.5"/>
    <row r="170" ht="27" customHeight="1" x14ac:dyDescent="0.5"/>
    <row r="171" ht="27" customHeight="1" x14ac:dyDescent="0.5"/>
    <row r="172" ht="27" customHeight="1" x14ac:dyDescent="0.5"/>
    <row r="173" ht="27" customHeight="1" x14ac:dyDescent="0.5"/>
    <row r="174" ht="27" customHeight="1" x14ac:dyDescent="0.5"/>
    <row r="175" ht="27" customHeight="1" x14ac:dyDescent="0.5"/>
    <row r="176" ht="27" customHeight="1" x14ac:dyDescent="0.5"/>
    <row r="177" ht="27" customHeight="1" x14ac:dyDescent="0.5"/>
    <row r="178" ht="27" customHeight="1" x14ac:dyDescent="0.5"/>
    <row r="179" ht="27" customHeight="1" x14ac:dyDescent="0.5"/>
    <row r="180" ht="27" customHeight="1" x14ac:dyDescent="0.5"/>
    <row r="181" ht="27" customHeight="1" x14ac:dyDescent="0.5"/>
    <row r="182" ht="27" customHeight="1" x14ac:dyDescent="0.5"/>
    <row r="183" ht="27" customHeight="1" x14ac:dyDescent="0.5"/>
    <row r="184" ht="27" customHeight="1" x14ac:dyDescent="0.5"/>
    <row r="185" ht="27" customHeight="1" x14ac:dyDescent="0.5"/>
    <row r="186" ht="27" customHeight="1" x14ac:dyDescent="0.5"/>
    <row r="187" ht="27" customHeight="1" x14ac:dyDescent="0.5"/>
    <row r="188" ht="27" customHeight="1" x14ac:dyDescent="0.5"/>
    <row r="189" ht="27" customHeight="1" x14ac:dyDescent="0.5"/>
    <row r="190" ht="27" customHeight="1" x14ac:dyDescent="0.5"/>
    <row r="191" ht="27" customHeight="1" x14ac:dyDescent="0.5"/>
    <row r="192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7" customHeight="1" x14ac:dyDescent="0.5"/>
    <row r="251" ht="27" customHeight="1" x14ac:dyDescent="0.5"/>
    <row r="252" ht="27" customHeight="1" x14ac:dyDescent="0.5"/>
    <row r="253" ht="27" customHeight="1" x14ac:dyDescent="0.5"/>
    <row r="254" ht="27" customHeight="1" x14ac:dyDescent="0.5"/>
    <row r="255" ht="27" customHeight="1" x14ac:dyDescent="0.5"/>
    <row r="256" ht="27" customHeight="1" x14ac:dyDescent="0.5"/>
    <row r="257" ht="27" customHeight="1" x14ac:dyDescent="0.5"/>
    <row r="258" ht="27" customHeight="1" x14ac:dyDescent="0.5"/>
    <row r="259" ht="27" customHeight="1" x14ac:dyDescent="0.5"/>
    <row r="260" ht="27" customHeight="1" x14ac:dyDescent="0.5"/>
    <row r="261" ht="27" customHeight="1" x14ac:dyDescent="0.5"/>
    <row r="262" ht="27" customHeight="1" x14ac:dyDescent="0.5"/>
    <row r="263" ht="27" customHeight="1" x14ac:dyDescent="0.5"/>
    <row r="264" ht="27" customHeight="1" x14ac:dyDescent="0.5"/>
    <row r="265" ht="27" customHeight="1" x14ac:dyDescent="0.5"/>
    <row r="266" ht="27" customHeight="1" x14ac:dyDescent="0.5"/>
    <row r="267" ht="27" customHeight="1" x14ac:dyDescent="0.5"/>
    <row r="268" ht="27" customHeight="1" x14ac:dyDescent="0.5"/>
    <row r="269" ht="27" customHeight="1" x14ac:dyDescent="0.5"/>
    <row r="270" ht="27" customHeight="1" x14ac:dyDescent="0.5"/>
    <row r="271" ht="27" customHeight="1" x14ac:dyDescent="0.5"/>
    <row r="272" ht="27" customHeight="1" x14ac:dyDescent="0.5"/>
    <row r="273" ht="27" customHeight="1" x14ac:dyDescent="0.5"/>
    <row r="274" ht="27" customHeight="1" x14ac:dyDescent="0.5"/>
    <row r="275" ht="27" customHeight="1" x14ac:dyDescent="0.5"/>
    <row r="276" ht="27" customHeight="1" x14ac:dyDescent="0.5"/>
    <row r="277" ht="27" customHeight="1" x14ac:dyDescent="0.5"/>
    <row r="278" ht="27" customHeight="1" x14ac:dyDescent="0.5"/>
    <row r="279" ht="27" customHeight="1" x14ac:dyDescent="0.5"/>
    <row r="280" ht="27" customHeight="1" x14ac:dyDescent="0.5"/>
    <row r="281" ht="27" customHeight="1" x14ac:dyDescent="0.5"/>
    <row r="282" ht="27" customHeight="1" x14ac:dyDescent="0.5"/>
    <row r="283" ht="27" customHeight="1" x14ac:dyDescent="0.5"/>
    <row r="284" ht="27" customHeight="1" x14ac:dyDescent="0.5"/>
    <row r="285" ht="27" customHeight="1" x14ac:dyDescent="0.5"/>
    <row r="286" ht="27" customHeight="1" x14ac:dyDescent="0.5"/>
    <row r="287" ht="27" customHeight="1" x14ac:dyDescent="0.5"/>
    <row r="288" ht="27" customHeight="1" x14ac:dyDescent="0.5"/>
    <row r="289" ht="27" customHeight="1" x14ac:dyDescent="0.5"/>
    <row r="290" ht="27" customHeight="1" x14ac:dyDescent="0.5"/>
    <row r="291" ht="27" customHeight="1" x14ac:dyDescent="0.5"/>
    <row r="292" ht="27" customHeight="1" x14ac:dyDescent="0.5"/>
    <row r="293" ht="27" customHeight="1" x14ac:dyDescent="0.5"/>
    <row r="294" ht="27" customHeight="1" x14ac:dyDescent="0.5"/>
    <row r="295" ht="27" customHeight="1" x14ac:dyDescent="0.5"/>
    <row r="296" ht="27" customHeight="1" x14ac:dyDescent="0.5"/>
    <row r="297" ht="27" customHeight="1" x14ac:dyDescent="0.5"/>
    <row r="298" ht="27" customHeight="1" x14ac:dyDescent="0.5"/>
    <row r="299" ht="27" customHeight="1" x14ac:dyDescent="0.5"/>
    <row r="300" ht="27" customHeight="1" x14ac:dyDescent="0.5"/>
    <row r="301" ht="27" customHeight="1" x14ac:dyDescent="0.5"/>
    <row r="302" ht="27" customHeight="1" x14ac:dyDescent="0.5"/>
    <row r="303" ht="27" customHeight="1" x14ac:dyDescent="0.5"/>
    <row r="304" ht="27" customHeight="1" x14ac:dyDescent="0.5"/>
    <row r="305" ht="27" customHeight="1" x14ac:dyDescent="0.5"/>
    <row r="306" ht="27" customHeight="1" x14ac:dyDescent="0.5"/>
    <row r="307" ht="27" customHeight="1" x14ac:dyDescent="0.5"/>
    <row r="308" ht="27" customHeight="1" x14ac:dyDescent="0.5"/>
    <row r="309" ht="27" customHeight="1" x14ac:dyDescent="0.5"/>
    <row r="310" ht="27" customHeight="1" x14ac:dyDescent="0.5"/>
    <row r="311" ht="27" customHeight="1" x14ac:dyDescent="0.5"/>
    <row r="312" ht="27" customHeight="1" x14ac:dyDescent="0.5"/>
    <row r="313" ht="27" customHeight="1" x14ac:dyDescent="0.5"/>
    <row r="314" ht="27" customHeight="1" x14ac:dyDescent="0.5"/>
    <row r="315" ht="27" customHeight="1" x14ac:dyDescent="0.5"/>
    <row r="316" ht="27" customHeight="1" x14ac:dyDescent="0.5"/>
    <row r="317" ht="27" customHeight="1" x14ac:dyDescent="0.5"/>
    <row r="318" ht="27" customHeight="1" x14ac:dyDescent="0.5"/>
    <row r="319" ht="27" customHeight="1" x14ac:dyDescent="0.5"/>
    <row r="320" ht="27" customHeight="1" x14ac:dyDescent="0.5"/>
    <row r="321" ht="27" customHeight="1" x14ac:dyDescent="0.5"/>
    <row r="322" ht="27" customHeight="1" x14ac:dyDescent="0.5"/>
    <row r="323" ht="27" customHeight="1" x14ac:dyDescent="0.5"/>
    <row r="324" ht="27" customHeight="1" x14ac:dyDescent="0.5"/>
    <row r="325" ht="27" customHeight="1" x14ac:dyDescent="0.5"/>
    <row r="326" ht="27" customHeight="1" x14ac:dyDescent="0.5"/>
    <row r="327" ht="27" customHeight="1" x14ac:dyDescent="0.5"/>
    <row r="328" ht="27" customHeight="1" x14ac:dyDescent="0.5"/>
    <row r="329" ht="27" customHeight="1" x14ac:dyDescent="0.5"/>
    <row r="330" ht="27" customHeight="1" x14ac:dyDescent="0.5"/>
    <row r="331" ht="27" customHeight="1" x14ac:dyDescent="0.5"/>
    <row r="332" ht="27" customHeight="1" x14ac:dyDescent="0.5"/>
    <row r="333" ht="27" customHeight="1" x14ac:dyDescent="0.5"/>
    <row r="334" ht="27" customHeight="1" x14ac:dyDescent="0.5"/>
    <row r="335" ht="27" customHeight="1" x14ac:dyDescent="0.5"/>
    <row r="336" ht="27" customHeight="1" x14ac:dyDescent="0.5"/>
  </sheetData>
  <mergeCells count="26">
    <mergeCell ref="U1:W1"/>
    <mergeCell ref="D1:O1"/>
    <mergeCell ref="B2:Q2"/>
    <mergeCell ref="B12:E12"/>
    <mergeCell ref="F12:I12"/>
    <mergeCell ref="J12:Q12"/>
    <mergeCell ref="B3:Q3"/>
    <mergeCell ref="F6:I6"/>
    <mergeCell ref="B6:E6"/>
    <mergeCell ref="J6:M6"/>
    <mergeCell ref="B7:E7"/>
    <mergeCell ref="F7:I7"/>
    <mergeCell ref="J7:M7"/>
    <mergeCell ref="N6:Q6"/>
    <mergeCell ref="N7:Q7"/>
    <mergeCell ref="B5:Q5"/>
    <mergeCell ref="B13:E13"/>
    <mergeCell ref="F13:I13"/>
    <mergeCell ref="J13:Q13"/>
    <mergeCell ref="B9:Q9"/>
    <mergeCell ref="B10:E10"/>
    <mergeCell ref="F10:I10"/>
    <mergeCell ref="J10:Q10"/>
    <mergeCell ref="B11:E11"/>
    <mergeCell ref="F11:I11"/>
    <mergeCell ref="J11:Q11"/>
  </mergeCells>
  <conditionalFormatting sqref="B5:B8">
    <cfRule type="duplicateValues" dxfId="8" priority="34"/>
  </conditionalFormatting>
  <conditionalFormatting sqref="F11:I11">
    <cfRule type="containsText" dxfId="7" priority="2" operator="containsText" text="Normal"/>
    <cfRule type="containsText" dxfId="6" priority="3" operator="containsText" text="Down"/>
  </conditionalFormatting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zoomScale="85" zoomScaleNormal="85" workbookViewId="0">
      <selection activeCell="V18" sqref="V18"/>
    </sheetView>
  </sheetViews>
  <sheetFormatPr defaultRowHeight="13.8" x14ac:dyDescent="0.25"/>
  <cols>
    <col min="1" max="1" width="12" customWidth="1"/>
    <col min="2" max="2" width="23" customWidth="1"/>
    <col min="3" max="16" width="10" customWidth="1"/>
    <col min="17" max="17" width="18" customWidth="1"/>
    <col min="18" max="18" width="22" customWidth="1"/>
    <col min="20" max="20" width="48.3984375" bestFit="1" customWidth="1"/>
    <col min="21" max="21" width="16.5" bestFit="1" customWidth="1"/>
    <col min="22" max="22" width="52.59765625" bestFit="1" customWidth="1"/>
    <col min="23" max="23" width="12.5" bestFit="1" customWidth="1"/>
    <col min="24" max="24" width="53.19921875" bestFit="1" customWidth="1"/>
    <col min="25" max="25" width="20.09765625" bestFit="1" customWidth="1"/>
  </cols>
  <sheetData>
    <row r="1" spans="1:25" ht="28.2" customHeight="1" x14ac:dyDescent="0.25">
      <c r="A1" s="70" t="s">
        <v>16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T1" s="9" t="s">
        <v>17</v>
      </c>
      <c r="U1" s="9"/>
      <c r="V1" s="9"/>
      <c r="W1" s="70"/>
      <c r="X1" s="70"/>
      <c r="Y1" s="10"/>
    </row>
    <row r="2" spans="1:25" ht="25.95" customHeight="1" x14ac:dyDescent="0.25">
      <c r="A2" s="34" t="s">
        <v>18</v>
      </c>
      <c r="B2" s="34" t="s">
        <v>19</v>
      </c>
      <c r="C2" s="16" t="s">
        <v>20</v>
      </c>
      <c r="D2" s="72" t="s">
        <v>21</v>
      </c>
      <c r="E2" s="73"/>
      <c r="F2" s="73"/>
      <c r="G2" s="74"/>
      <c r="H2" s="71" t="s">
        <v>22</v>
      </c>
      <c r="I2" s="71"/>
      <c r="J2" s="71"/>
      <c r="K2" s="72" t="s">
        <v>23</v>
      </c>
      <c r="L2" s="73"/>
      <c r="M2" s="72" t="s">
        <v>24</v>
      </c>
      <c r="N2" s="73"/>
      <c r="O2" s="71" t="s">
        <v>25</v>
      </c>
      <c r="P2" s="71"/>
      <c r="Q2" s="15" t="s">
        <v>26</v>
      </c>
      <c r="R2" s="15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ht="25.95" customHeight="1" x14ac:dyDescent="0.25">
      <c r="A3" s="15"/>
      <c r="B3" s="15"/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38</v>
      </c>
      <c r="K3" s="16" t="s">
        <v>41</v>
      </c>
      <c r="L3" s="16" t="s">
        <v>38</v>
      </c>
      <c r="M3" s="16" t="s">
        <v>41</v>
      </c>
      <c r="N3" s="16" t="s">
        <v>38</v>
      </c>
      <c r="O3" s="16" t="s">
        <v>41</v>
      </c>
      <c r="P3" s="16" t="s">
        <v>38</v>
      </c>
      <c r="Q3" s="15"/>
      <c r="R3" s="15"/>
      <c r="T3" s="12">
        <v>1</v>
      </c>
      <c r="U3" s="14" t="s">
        <v>42</v>
      </c>
      <c r="V3" s="13" t="s">
        <v>43</v>
      </c>
      <c r="W3" s="12" t="s">
        <v>44</v>
      </c>
      <c r="X3" s="13" t="s">
        <v>45</v>
      </c>
      <c r="Y3" s="22"/>
    </row>
    <row r="4" spans="1:25" ht="21" x14ac:dyDescent="0.6">
      <c r="A4" s="17">
        <f>SUBTOTAL(3,A5:A20)</f>
        <v>16</v>
      </c>
      <c r="B4" s="18">
        <f>SUBTOTAL(3,B5:B30)</f>
        <v>16</v>
      </c>
      <c r="C4" s="18">
        <f>SUBTOTAL(2,C5:C30)</f>
        <v>0</v>
      </c>
      <c r="D4" s="18">
        <f t="shared" ref="D4:P4" si="0">SUBTOTAL(2,D5:D30)</f>
        <v>0</v>
      </c>
      <c r="E4" s="18">
        <f t="shared" si="0"/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27">
        <v>0</v>
      </c>
      <c r="R4" s="17"/>
      <c r="T4" s="12">
        <v>2</v>
      </c>
      <c r="U4" s="14" t="s">
        <v>23</v>
      </c>
      <c r="V4" s="13" t="s">
        <v>46</v>
      </c>
      <c r="W4" s="12" t="s">
        <v>44</v>
      </c>
      <c r="X4" s="13" t="s">
        <v>45</v>
      </c>
      <c r="Y4" s="22"/>
    </row>
    <row r="5" spans="1:25" ht="21" x14ac:dyDescent="0.25">
      <c r="A5" s="19" t="s">
        <v>47</v>
      </c>
      <c r="B5" s="20" t="s">
        <v>48</v>
      </c>
      <c r="C5" s="33" t="b">
        <v>0</v>
      </c>
      <c r="D5" s="33" t="b">
        <v>0</v>
      </c>
      <c r="E5" s="33" t="b">
        <v>0</v>
      </c>
      <c r="F5" s="33" t="b">
        <v>0</v>
      </c>
      <c r="G5" s="33" t="b">
        <v>0</v>
      </c>
      <c r="H5" s="33" t="b">
        <v>0</v>
      </c>
      <c r="I5" s="33" t="b">
        <v>0</v>
      </c>
      <c r="J5" s="33" t="b">
        <v>0</v>
      </c>
      <c r="K5" s="33" t="b">
        <v>0</v>
      </c>
      <c r="L5" s="33" t="b">
        <v>0</v>
      </c>
      <c r="M5" s="33" t="b">
        <v>0</v>
      </c>
      <c r="N5" s="33" t="b">
        <v>0</v>
      </c>
      <c r="O5" s="33" t="b">
        <v>0</v>
      </c>
      <c r="P5" s="33" t="b">
        <v>0</v>
      </c>
      <c r="Q5" s="25" t="str">
        <f>IF(COUNTIF(C5:P5,TRUE)=0,"",COUNTIF(C5:P5,TRUE))</f>
        <v/>
      </c>
      <c r="R5" s="19"/>
      <c r="T5" s="12">
        <v>3</v>
      </c>
      <c r="U5" s="14" t="s">
        <v>24</v>
      </c>
      <c r="V5" s="13" t="s">
        <v>49</v>
      </c>
      <c r="W5" s="12" t="s">
        <v>44</v>
      </c>
      <c r="X5" s="13" t="s">
        <v>45</v>
      </c>
      <c r="Y5" s="22"/>
    </row>
    <row r="6" spans="1:25" ht="21" x14ac:dyDescent="0.25">
      <c r="A6" s="19" t="s">
        <v>50</v>
      </c>
      <c r="B6" s="20" t="s">
        <v>51</v>
      </c>
      <c r="C6" s="33" t="b">
        <v>0</v>
      </c>
      <c r="D6" s="33" t="b">
        <v>0</v>
      </c>
      <c r="E6" s="33" t="b">
        <v>0</v>
      </c>
      <c r="F6" s="33" t="b">
        <v>0</v>
      </c>
      <c r="G6" s="33" t="b">
        <v>0</v>
      </c>
      <c r="H6" s="33" t="b">
        <v>0</v>
      </c>
      <c r="I6" s="33" t="b">
        <v>0</v>
      </c>
      <c r="J6" s="33" t="b">
        <v>0</v>
      </c>
      <c r="K6" s="33" t="b">
        <v>0</v>
      </c>
      <c r="L6" s="33" t="b">
        <v>0</v>
      </c>
      <c r="M6" s="33" t="b">
        <v>0</v>
      </c>
      <c r="N6" s="33" t="b">
        <v>0</v>
      </c>
      <c r="O6" s="33" t="b">
        <v>0</v>
      </c>
      <c r="P6" s="33" t="b">
        <v>0</v>
      </c>
      <c r="Q6" s="25" t="str">
        <f t="shared" ref="Q6:Q20" si="1">IF(COUNTIF(C6:P6,TRUE)=0,"",COUNTIF(C6:P6,TRUE))</f>
        <v/>
      </c>
      <c r="R6" s="19"/>
      <c r="T6" s="62">
        <v>4</v>
      </c>
      <c r="U6" s="63" t="s">
        <v>52</v>
      </c>
      <c r="V6" s="13" t="s">
        <v>53</v>
      </c>
      <c r="W6" s="12" t="s">
        <v>44</v>
      </c>
      <c r="X6" s="13" t="s">
        <v>45</v>
      </c>
      <c r="Y6" s="22"/>
    </row>
    <row r="7" spans="1:25" ht="21" x14ac:dyDescent="0.3">
      <c r="A7" s="19" t="s">
        <v>54</v>
      </c>
      <c r="B7" s="20" t="s">
        <v>55</v>
      </c>
      <c r="C7" s="33" t="b">
        <v>0</v>
      </c>
      <c r="D7" s="33" t="b">
        <v>0</v>
      </c>
      <c r="E7" s="33" t="b">
        <v>0</v>
      </c>
      <c r="F7" s="33" t="b">
        <v>0</v>
      </c>
      <c r="G7" s="33" t="b">
        <v>0</v>
      </c>
      <c r="H7" s="33" t="b">
        <v>0</v>
      </c>
      <c r="I7" s="33" t="b">
        <v>0</v>
      </c>
      <c r="J7" s="33" t="b">
        <v>0</v>
      </c>
      <c r="K7" s="33" t="b">
        <v>0</v>
      </c>
      <c r="L7" s="33" t="b">
        <v>0</v>
      </c>
      <c r="M7" s="33" t="b">
        <v>0</v>
      </c>
      <c r="N7" s="33" t="b">
        <v>0</v>
      </c>
      <c r="O7" s="33" t="b">
        <v>0</v>
      </c>
      <c r="P7" s="33" t="b">
        <v>0</v>
      </c>
      <c r="Q7" s="25" t="str">
        <f t="shared" si="1"/>
        <v/>
      </c>
      <c r="R7" s="19"/>
      <c r="T7" s="64" t="s">
        <v>56</v>
      </c>
      <c r="U7" s="67" t="s">
        <v>57</v>
      </c>
    </row>
    <row r="8" spans="1:25" ht="21" x14ac:dyDescent="0.3">
      <c r="A8" s="19" t="s">
        <v>58</v>
      </c>
      <c r="B8" s="20" t="s">
        <v>105</v>
      </c>
      <c r="C8" s="33" t="b">
        <v>0</v>
      </c>
      <c r="D8" s="33" t="b">
        <v>0</v>
      </c>
      <c r="E8" s="33" t="b">
        <v>0</v>
      </c>
      <c r="F8" s="33" t="b">
        <v>0</v>
      </c>
      <c r="G8" s="33" t="b">
        <v>0</v>
      </c>
      <c r="H8" s="33" t="b">
        <v>0</v>
      </c>
      <c r="I8" s="33" t="b">
        <v>0</v>
      </c>
      <c r="J8" s="33" t="b">
        <v>0</v>
      </c>
      <c r="K8" s="33" t="b">
        <v>0</v>
      </c>
      <c r="L8" s="33" t="b">
        <v>0</v>
      </c>
      <c r="M8" s="33" t="b">
        <v>0</v>
      </c>
      <c r="N8" s="33" t="b">
        <v>0</v>
      </c>
      <c r="O8" s="33" t="b">
        <v>0</v>
      </c>
      <c r="P8" s="33" t="b">
        <v>0</v>
      </c>
      <c r="Q8" s="25" t="str">
        <f t="shared" si="1"/>
        <v/>
      </c>
      <c r="R8" s="19"/>
      <c r="T8" s="65" t="s">
        <v>59</v>
      </c>
      <c r="U8" s="68">
        <f>COUNTBLANK(Q5:Q12)</f>
        <v>8</v>
      </c>
    </row>
    <row r="9" spans="1:25" ht="21" x14ac:dyDescent="0.3">
      <c r="A9" s="19" t="s">
        <v>60</v>
      </c>
      <c r="B9" s="20" t="s">
        <v>61</v>
      </c>
      <c r="C9" s="33" t="b">
        <v>0</v>
      </c>
      <c r="D9" s="33" t="b">
        <v>0</v>
      </c>
      <c r="E9" s="33" t="b">
        <v>0</v>
      </c>
      <c r="F9" s="33" t="b">
        <v>0</v>
      </c>
      <c r="G9" s="33" t="b">
        <v>0</v>
      </c>
      <c r="H9" s="33" t="b">
        <v>0</v>
      </c>
      <c r="I9" s="33" t="b">
        <v>0</v>
      </c>
      <c r="J9" s="33" t="b">
        <v>0</v>
      </c>
      <c r="K9" s="33" t="b">
        <v>0</v>
      </c>
      <c r="L9" s="33" t="b">
        <v>0</v>
      </c>
      <c r="M9" s="33" t="b">
        <v>0</v>
      </c>
      <c r="N9" s="33" t="b">
        <v>0</v>
      </c>
      <c r="O9" s="33" t="b">
        <v>0</v>
      </c>
      <c r="P9" s="33" t="b">
        <v>0</v>
      </c>
      <c r="Q9" s="25" t="str">
        <f t="shared" si="1"/>
        <v/>
      </c>
      <c r="R9" s="19"/>
      <c r="T9" s="66" t="s">
        <v>62</v>
      </c>
      <c r="U9" s="69">
        <f>ROWS(Q5:Q12)-COUNTBLANK(Q5:Q12)</f>
        <v>0</v>
      </c>
    </row>
    <row r="10" spans="1:25" ht="21" x14ac:dyDescent="0.3">
      <c r="A10" s="19" t="s">
        <v>63</v>
      </c>
      <c r="B10" s="20" t="s">
        <v>64</v>
      </c>
      <c r="C10" s="33" t="b">
        <v>0</v>
      </c>
      <c r="D10" s="33" t="b">
        <v>0</v>
      </c>
      <c r="E10" s="33" t="b">
        <v>0</v>
      </c>
      <c r="F10" s="33" t="b">
        <v>0</v>
      </c>
      <c r="G10" s="33" t="b">
        <v>0</v>
      </c>
      <c r="H10" s="33" t="b">
        <v>0</v>
      </c>
      <c r="I10" s="33" t="b">
        <v>0</v>
      </c>
      <c r="J10" s="33" t="b">
        <v>0</v>
      </c>
      <c r="K10" s="33" t="b">
        <v>0</v>
      </c>
      <c r="L10" s="33" t="b">
        <v>0</v>
      </c>
      <c r="M10" s="33" t="b">
        <v>0</v>
      </c>
      <c r="N10" s="33" t="b">
        <v>0</v>
      </c>
      <c r="O10" s="33" t="b">
        <v>0</v>
      </c>
      <c r="P10" s="33" t="b">
        <v>0</v>
      </c>
      <c r="Q10" s="25" t="str">
        <f t="shared" si="1"/>
        <v/>
      </c>
      <c r="R10" s="19"/>
      <c r="T10" s="64" t="s">
        <v>65</v>
      </c>
      <c r="U10" s="67" t="s">
        <v>57</v>
      </c>
    </row>
    <row r="11" spans="1:25" ht="21" x14ac:dyDescent="0.3">
      <c r="A11" s="19" t="s">
        <v>66</v>
      </c>
      <c r="B11" s="20" t="s">
        <v>67</v>
      </c>
      <c r="C11" s="33" t="b">
        <v>0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  <c r="I11" s="33" t="b">
        <v>0</v>
      </c>
      <c r="J11" s="33" t="b">
        <v>0</v>
      </c>
      <c r="K11" s="33" t="b">
        <v>0</v>
      </c>
      <c r="L11" s="33" t="b">
        <v>0</v>
      </c>
      <c r="M11" s="33" t="b">
        <v>0</v>
      </c>
      <c r="N11" s="33" t="b">
        <v>0</v>
      </c>
      <c r="O11" s="33" t="b">
        <v>0</v>
      </c>
      <c r="P11" s="33" t="b">
        <v>0</v>
      </c>
      <c r="Q11" s="25" t="str">
        <f t="shared" si="1"/>
        <v/>
      </c>
      <c r="R11" s="19"/>
      <c r="T11" s="65" t="s">
        <v>59</v>
      </c>
      <c r="U11" s="68">
        <f>COUNTBLANK(Q13:Q20)</f>
        <v>8</v>
      </c>
    </row>
    <row r="12" spans="1:25" ht="21" x14ac:dyDescent="0.3">
      <c r="A12" s="19" t="s">
        <v>68</v>
      </c>
      <c r="B12" s="20" t="s">
        <v>69</v>
      </c>
      <c r="C12" s="33" t="b">
        <v>0</v>
      </c>
      <c r="D12" s="33" t="b">
        <v>0</v>
      </c>
      <c r="E12" s="33" t="b">
        <v>0</v>
      </c>
      <c r="F12" s="33" t="b">
        <v>0</v>
      </c>
      <c r="G12" s="33" t="b">
        <v>0</v>
      </c>
      <c r="H12" s="33" t="b">
        <v>0</v>
      </c>
      <c r="I12" s="33" t="b">
        <v>0</v>
      </c>
      <c r="J12" s="33" t="b">
        <v>0</v>
      </c>
      <c r="K12" s="33" t="b">
        <v>0</v>
      </c>
      <c r="L12" s="33" t="b">
        <v>0</v>
      </c>
      <c r="M12" s="33" t="b">
        <v>0</v>
      </c>
      <c r="N12" s="33" t="b">
        <v>0</v>
      </c>
      <c r="O12" s="33" t="b">
        <v>0</v>
      </c>
      <c r="P12" s="33" t="b">
        <v>0</v>
      </c>
      <c r="Q12" s="25" t="str">
        <f t="shared" si="1"/>
        <v/>
      </c>
      <c r="R12" s="19"/>
      <c r="T12" s="66" t="s">
        <v>62</v>
      </c>
      <c r="U12" s="69">
        <f>ROWS(Q13:Q20)-COUNTBLANK(Q13:Q20)</f>
        <v>0</v>
      </c>
    </row>
    <row r="13" spans="1:25" ht="21" x14ac:dyDescent="0.25">
      <c r="A13" s="19" t="s">
        <v>70</v>
      </c>
      <c r="B13" s="20" t="s">
        <v>71</v>
      </c>
      <c r="C13" s="33" t="b">
        <v>0</v>
      </c>
      <c r="D13" s="33" t="b">
        <v>0</v>
      </c>
      <c r="E13" s="33" t="b">
        <v>0</v>
      </c>
      <c r="F13" s="33" t="b">
        <v>0</v>
      </c>
      <c r="G13" s="33" t="b">
        <v>0</v>
      </c>
      <c r="H13" s="33" t="b">
        <v>0</v>
      </c>
      <c r="I13" s="33" t="b">
        <v>0</v>
      </c>
      <c r="J13" s="33" t="b">
        <v>0</v>
      </c>
      <c r="K13" s="33" t="b">
        <v>0</v>
      </c>
      <c r="L13" s="33" t="b">
        <v>0</v>
      </c>
      <c r="M13" s="33" t="b">
        <v>0</v>
      </c>
      <c r="N13" s="33" t="b">
        <v>0</v>
      </c>
      <c r="O13" s="33" t="b">
        <v>0</v>
      </c>
      <c r="P13" s="33" t="b">
        <v>0</v>
      </c>
      <c r="Q13" s="25" t="str">
        <f t="shared" si="1"/>
        <v/>
      </c>
      <c r="R13" s="19"/>
    </row>
    <row r="14" spans="1:25" ht="21" x14ac:dyDescent="0.25">
      <c r="A14" s="19" t="s">
        <v>70</v>
      </c>
      <c r="B14" s="20" t="s">
        <v>72</v>
      </c>
      <c r="C14" s="33" t="b">
        <v>0</v>
      </c>
      <c r="D14" s="33" t="b">
        <v>0</v>
      </c>
      <c r="E14" s="33" t="b">
        <v>0</v>
      </c>
      <c r="F14" s="33" t="b">
        <v>0</v>
      </c>
      <c r="G14" s="33" t="b">
        <v>0</v>
      </c>
      <c r="H14" s="33" t="b">
        <v>0</v>
      </c>
      <c r="I14" s="33" t="b">
        <v>0</v>
      </c>
      <c r="J14" s="33" t="b">
        <v>0</v>
      </c>
      <c r="K14" s="33" t="b">
        <v>0</v>
      </c>
      <c r="L14" s="33" t="b">
        <v>0</v>
      </c>
      <c r="M14" s="33" t="b">
        <v>0</v>
      </c>
      <c r="N14" s="33" t="b">
        <v>0</v>
      </c>
      <c r="O14" s="33" t="b">
        <v>0</v>
      </c>
      <c r="P14" s="33" t="b">
        <v>0</v>
      </c>
      <c r="Q14" s="25" t="str">
        <f t="shared" si="1"/>
        <v/>
      </c>
      <c r="R14" s="19"/>
    </row>
    <row r="15" spans="1:25" ht="21" x14ac:dyDescent="0.25">
      <c r="A15" s="19" t="s">
        <v>70</v>
      </c>
      <c r="B15" s="20" t="s">
        <v>73</v>
      </c>
      <c r="C15" s="33" t="b">
        <v>0</v>
      </c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25" t="str">
        <f t="shared" si="1"/>
        <v/>
      </c>
      <c r="R15" s="19"/>
    </row>
    <row r="16" spans="1:25" ht="21" x14ac:dyDescent="0.25">
      <c r="A16" s="19" t="s">
        <v>70</v>
      </c>
      <c r="B16" s="20" t="s">
        <v>74</v>
      </c>
      <c r="C16" s="33" t="b">
        <v>0</v>
      </c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25" t="str">
        <f t="shared" si="1"/>
        <v/>
      </c>
      <c r="R16" s="19"/>
    </row>
    <row r="17" spans="1:18" ht="21" x14ac:dyDescent="0.25">
      <c r="A17" s="19" t="s">
        <v>70</v>
      </c>
      <c r="B17" s="20" t="s">
        <v>75</v>
      </c>
      <c r="C17" s="33" t="b">
        <v>0</v>
      </c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25" t="str">
        <f t="shared" si="1"/>
        <v/>
      </c>
      <c r="R17" s="19"/>
    </row>
    <row r="18" spans="1:18" ht="21" x14ac:dyDescent="0.25">
      <c r="A18" s="19" t="s">
        <v>70</v>
      </c>
      <c r="B18" s="20" t="s">
        <v>76</v>
      </c>
      <c r="C18" s="33" t="b">
        <v>0</v>
      </c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25" t="str">
        <f t="shared" si="1"/>
        <v/>
      </c>
      <c r="R18" s="19"/>
    </row>
    <row r="19" spans="1:18" ht="21" x14ac:dyDescent="0.25">
      <c r="A19" s="19" t="s">
        <v>70</v>
      </c>
      <c r="B19" s="20" t="s">
        <v>77</v>
      </c>
      <c r="C19" s="33" t="b">
        <v>0</v>
      </c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25" t="str">
        <f t="shared" si="1"/>
        <v/>
      </c>
      <c r="R19" s="19"/>
    </row>
    <row r="20" spans="1:18" ht="21" x14ac:dyDescent="0.25">
      <c r="A20" s="19" t="s">
        <v>70</v>
      </c>
      <c r="B20" s="20" t="s">
        <v>78</v>
      </c>
      <c r="C20" s="33" t="b">
        <v>0</v>
      </c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25" t="str">
        <f t="shared" si="1"/>
        <v/>
      </c>
      <c r="R20" s="19"/>
    </row>
    <row r="21" spans="1:18" ht="21" x14ac:dyDescent="0.25">
      <c r="A21" s="24" t="s">
        <v>79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6">
        <f>SUBTOTAL(2,Q5:Q20)</f>
        <v>0</v>
      </c>
      <c r="R21" s="24"/>
    </row>
  </sheetData>
  <mergeCells count="7">
    <mergeCell ref="W1:X1"/>
    <mergeCell ref="A1:R1"/>
    <mergeCell ref="H2:J2"/>
    <mergeCell ref="O2:P2"/>
    <mergeCell ref="K2:L2"/>
    <mergeCell ref="M2:N2"/>
    <mergeCell ref="D2:G2"/>
  </mergeCells>
  <conditionalFormatting sqref="U2:U6">
    <cfRule type="duplicateValues" dxfId="5" priority="3"/>
  </conditionalFormatting>
  <conditionalFormatting sqref="W3:W6">
    <cfRule type="containsText" dxfId="4" priority="4" operator="containsText" text="Normal"/>
    <cfRule type="containsText" dxfId="3" priority="5" operator="containsText" text="Monitor"/>
    <cfRule type="containsText" dxfId="2" priority="6" operator="containsText" text="Down"/>
  </conditionalFormatting>
  <conditionalFormatting sqref="X2:X6">
    <cfRule type="cellIs" dxfId="1" priority="1" operator="equal">
      <formula>"Down"</formula>
    </cfRule>
    <cfRule type="cellIs" dxfId="0" priority="2" operator="equal">
      <formula>"Online"</formula>
    </cfRule>
  </conditionalFormatting>
  <dataValidations count="1">
    <dataValidation type="list" sqref="W3:W6" xr:uid="{4A62ADA9-4C3F-43D0-A168-920228B56198}">
      <formula1>"ปกติ / Normal,รอตรวจสอบ / Pending ,ขัดข้อง / Down"</formula1>
    </dataValidation>
  </dataValidation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7DA-B53F-4EF5-81D4-89FE6AB9FDC7}">
  <dimension ref="A1:E245"/>
  <sheetViews>
    <sheetView tabSelected="1" topLeftCell="A221" workbookViewId="0">
      <selection activeCell="D234" sqref="D234"/>
    </sheetView>
  </sheetViews>
  <sheetFormatPr defaultColWidth="9" defaultRowHeight="13.8" x14ac:dyDescent="0.25"/>
  <cols>
    <col min="1" max="1" width="13.5" style="35" bestFit="1" customWidth="1"/>
    <col min="2" max="2" width="9" style="36"/>
    <col min="3" max="3" width="13.19921875" style="36" bestFit="1" customWidth="1"/>
    <col min="4" max="4" width="14.5" style="36" bestFit="1" customWidth="1"/>
    <col min="5" max="5" width="9" style="36"/>
    <col min="6" max="16384" width="9" style="35"/>
  </cols>
  <sheetData>
    <row r="1" spans="1:5" s="37" customFormat="1" x14ac:dyDescent="0.25">
      <c r="A1" s="37" t="s">
        <v>80</v>
      </c>
      <c r="B1" s="38" t="s">
        <v>81</v>
      </c>
      <c r="C1" s="38" t="s">
        <v>82</v>
      </c>
      <c r="D1" s="38" t="s">
        <v>83</v>
      </c>
      <c r="E1" s="38"/>
    </row>
    <row r="2" spans="1:5" x14ac:dyDescent="0.25">
      <c r="A2" s="39" t="s">
        <v>42</v>
      </c>
      <c r="B2" s="42">
        <v>46235</v>
      </c>
      <c r="C2" s="40">
        <f t="shared" ref="C2:C33" si="0">IF(D2="",100,MAX(0,(1440-D2)/1440*100))</f>
        <v>100</v>
      </c>
    </row>
    <row r="3" spans="1:5" x14ac:dyDescent="0.25">
      <c r="A3" s="39" t="s">
        <v>42</v>
      </c>
      <c r="B3" s="42">
        <v>46236</v>
      </c>
      <c r="C3" s="40">
        <f t="shared" si="0"/>
        <v>100</v>
      </c>
    </row>
    <row r="4" spans="1:5" x14ac:dyDescent="0.25">
      <c r="A4" s="39" t="s">
        <v>42</v>
      </c>
      <c r="B4" s="42">
        <v>46237</v>
      </c>
      <c r="C4" s="40">
        <f t="shared" si="0"/>
        <v>100</v>
      </c>
    </row>
    <row r="5" spans="1:5" x14ac:dyDescent="0.25">
      <c r="A5" s="39" t="s">
        <v>42</v>
      </c>
      <c r="B5" s="42">
        <v>46238</v>
      </c>
      <c r="C5" s="40">
        <f t="shared" si="0"/>
        <v>100</v>
      </c>
    </row>
    <row r="6" spans="1:5" x14ac:dyDescent="0.25">
      <c r="A6" s="41" t="s">
        <v>42</v>
      </c>
      <c r="B6" s="42">
        <v>46239</v>
      </c>
      <c r="C6" s="40">
        <f t="shared" si="0"/>
        <v>100</v>
      </c>
    </row>
    <row r="7" spans="1:5" x14ac:dyDescent="0.25">
      <c r="A7" s="41" t="s">
        <v>42</v>
      </c>
      <c r="B7" s="42">
        <v>46240</v>
      </c>
      <c r="C7" s="40">
        <f t="shared" si="0"/>
        <v>100</v>
      </c>
    </row>
    <row r="8" spans="1:5" x14ac:dyDescent="0.25">
      <c r="A8" s="41" t="s">
        <v>42</v>
      </c>
      <c r="B8" s="42">
        <v>46241</v>
      </c>
      <c r="C8" s="40">
        <f t="shared" si="0"/>
        <v>99.791666666666671</v>
      </c>
      <c r="D8" s="36">
        <v>3</v>
      </c>
    </row>
    <row r="9" spans="1:5" x14ac:dyDescent="0.25">
      <c r="A9" s="39" t="s">
        <v>42</v>
      </c>
      <c r="B9" s="42">
        <v>46242</v>
      </c>
      <c r="C9" s="40">
        <f t="shared" si="0"/>
        <v>100</v>
      </c>
    </row>
    <row r="10" spans="1:5" x14ac:dyDescent="0.25">
      <c r="A10" s="39" t="s">
        <v>42</v>
      </c>
      <c r="B10" s="42">
        <v>46243</v>
      </c>
      <c r="C10" s="40">
        <f t="shared" si="0"/>
        <v>100</v>
      </c>
    </row>
    <row r="11" spans="1:5" x14ac:dyDescent="0.25">
      <c r="A11" s="39" t="s">
        <v>42</v>
      </c>
      <c r="B11" s="42">
        <v>46244</v>
      </c>
      <c r="C11" s="40">
        <f t="shared" si="0"/>
        <v>100</v>
      </c>
    </row>
    <row r="12" spans="1:5" x14ac:dyDescent="0.25">
      <c r="A12" s="39" t="s">
        <v>42</v>
      </c>
      <c r="B12" s="42">
        <v>46245</v>
      </c>
      <c r="C12" s="40">
        <f t="shared" si="0"/>
        <v>100</v>
      </c>
    </row>
    <row r="13" spans="1:5" x14ac:dyDescent="0.25">
      <c r="A13" s="41" t="s">
        <v>42</v>
      </c>
      <c r="B13" s="42">
        <v>46246</v>
      </c>
      <c r="C13" s="40">
        <f t="shared" si="0"/>
        <v>100</v>
      </c>
    </row>
    <row r="14" spans="1:5" x14ac:dyDescent="0.25">
      <c r="A14" s="41" t="s">
        <v>42</v>
      </c>
      <c r="B14" s="42">
        <v>46247</v>
      </c>
      <c r="C14" s="40">
        <f t="shared" si="0"/>
        <v>100</v>
      </c>
    </row>
    <row r="15" spans="1:5" x14ac:dyDescent="0.25">
      <c r="A15" s="41" t="s">
        <v>42</v>
      </c>
      <c r="B15" s="42">
        <v>46248</v>
      </c>
      <c r="C15" s="40">
        <f t="shared" si="0"/>
        <v>100</v>
      </c>
    </row>
    <row r="16" spans="1:5" x14ac:dyDescent="0.25">
      <c r="A16" s="39" t="s">
        <v>42</v>
      </c>
      <c r="B16" s="42">
        <v>46249</v>
      </c>
      <c r="C16" s="40">
        <f t="shared" si="0"/>
        <v>100</v>
      </c>
    </row>
    <row r="17" spans="1:4" x14ac:dyDescent="0.25">
      <c r="A17" s="39" t="s">
        <v>42</v>
      </c>
      <c r="B17" s="42">
        <v>46250</v>
      </c>
      <c r="C17" s="40">
        <f t="shared" si="0"/>
        <v>100</v>
      </c>
    </row>
    <row r="18" spans="1:4" x14ac:dyDescent="0.25">
      <c r="A18" s="39" t="s">
        <v>42</v>
      </c>
      <c r="B18" s="42">
        <v>46251</v>
      </c>
      <c r="C18" s="40">
        <f t="shared" si="0"/>
        <v>100</v>
      </c>
    </row>
    <row r="19" spans="1:4" x14ac:dyDescent="0.25">
      <c r="A19" s="39" t="s">
        <v>42</v>
      </c>
      <c r="B19" s="42">
        <v>46252</v>
      </c>
      <c r="C19" s="40">
        <f t="shared" si="0"/>
        <v>100</v>
      </c>
    </row>
    <row r="20" spans="1:4" x14ac:dyDescent="0.25">
      <c r="A20" s="41" t="s">
        <v>42</v>
      </c>
      <c r="B20" s="42">
        <v>46253</v>
      </c>
      <c r="C20" s="40">
        <f t="shared" si="0"/>
        <v>100</v>
      </c>
    </row>
    <row r="21" spans="1:4" x14ac:dyDescent="0.25">
      <c r="A21" s="41" t="s">
        <v>42</v>
      </c>
      <c r="B21" s="42">
        <v>46254</v>
      </c>
      <c r="C21" s="40">
        <f t="shared" si="0"/>
        <v>100</v>
      </c>
    </row>
    <row r="22" spans="1:4" x14ac:dyDescent="0.25">
      <c r="A22" s="41" t="s">
        <v>42</v>
      </c>
      <c r="B22" s="42">
        <v>46255</v>
      </c>
      <c r="C22" s="40">
        <f t="shared" si="0"/>
        <v>100</v>
      </c>
    </row>
    <row r="23" spans="1:4" x14ac:dyDescent="0.25">
      <c r="A23" s="39" t="s">
        <v>42</v>
      </c>
      <c r="B23" s="42">
        <v>46256</v>
      </c>
      <c r="C23" s="40">
        <f t="shared" si="0"/>
        <v>100</v>
      </c>
    </row>
    <row r="24" spans="1:4" x14ac:dyDescent="0.25">
      <c r="A24" s="39" t="s">
        <v>42</v>
      </c>
      <c r="B24" s="42">
        <v>46257</v>
      </c>
      <c r="C24" s="40">
        <f t="shared" si="0"/>
        <v>100</v>
      </c>
    </row>
    <row r="25" spans="1:4" x14ac:dyDescent="0.25">
      <c r="A25" s="39" t="s">
        <v>42</v>
      </c>
      <c r="B25" s="42">
        <v>46258</v>
      </c>
      <c r="C25" s="40">
        <f t="shared" si="0"/>
        <v>100</v>
      </c>
    </row>
    <row r="26" spans="1:4" x14ac:dyDescent="0.25">
      <c r="A26" s="39" t="s">
        <v>42</v>
      </c>
      <c r="B26" s="42">
        <v>46259</v>
      </c>
      <c r="C26" s="40">
        <f t="shared" si="0"/>
        <v>100</v>
      </c>
    </row>
    <row r="27" spans="1:4" x14ac:dyDescent="0.25">
      <c r="A27" s="41" t="s">
        <v>42</v>
      </c>
      <c r="B27" s="42">
        <v>46260</v>
      </c>
      <c r="C27" s="40">
        <f t="shared" si="0"/>
        <v>100</v>
      </c>
    </row>
    <row r="28" spans="1:4" x14ac:dyDescent="0.25">
      <c r="A28" s="41" t="s">
        <v>42</v>
      </c>
      <c r="B28" s="42">
        <v>46261</v>
      </c>
      <c r="C28" s="40">
        <f t="shared" si="0"/>
        <v>100</v>
      </c>
    </row>
    <row r="29" spans="1:4" x14ac:dyDescent="0.25">
      <c r="A29" s="41" t="s">
        <v>42</v>
      </c>
      <c r="B29" s="42">
        <v>46262</v>
      </c>
      <c r="C29" s="40">
        <f t="shared" si="0"/>
        <v>100</v>
      </c>
    </row>
    <row r="30" spans="1:4" x14ac:dyDescent="0.25">
      <c r="A30" s="39" t="s">
        <v>42</v>
      </c>
      <c r="B30" s="42">
        <v>46263</v>
      </c>
      <c r="C30" s="40">
        <f t="shared" si="0"/>
        <v>100</v>
      </c>
    </row>
    <row r="31" spans="1:4" x14ac:dyDescent="0.25">
      <c r="A31" s="39" t="s">
        <v>42</v>
      </c>
      <c r="B31" s="42">
        <v>46264</v>
      </c>
      <c r="C31" s="40">
        <f t="shared" si="0"/>
        <v>100</v>
      </c>
    </row>
    <row r="32" spans="1:4" x14ac:dyDescent="0.25">
      <c r="A32" s="39" t="s">
        <v>42</v>
      </c>
      <c r="B32" s="42">
        <v>46265</v>
      </c>
      <c r="C32" s="40">
        <f t="shared" si="0"/>
        <v>99.722222222222229</v>
      </c>
      <c r="D32" s="36">
        <v>4</v>
      </c>
    </row>
    <row r="33" spans="1:3" x14ac:dyDescent="0.25">
      <c r="A33" s="39" t="s">
        <v>23</v>
      </c>
      <c r="B33" s="42">
        <v>46235</v>
      </c>
      <c r="C33" s="40">
        <f t="shared" si="0"/>
        <v>100</v>
      </c>
    </row>
    <row r="34" spans="1:3" x14ac:dyDescent="0.25">
      <c r="A34" s="41" t="s">
        <v>23</v>
      </c>
      <c r="B34" s="42">
        <v>46236</v>
      </c>
      <c r="C34" s="40">
        <f t="shared" ref="C34:C65" si="1">IF(D34="",100,MAX(0,(1440-D34)/1440*100))</f>
        <v>100</v>
      </c>
    </row>
    <row r="35" spans="1:3" x14ac:dyDescent="0.25">
      <c r="A35" s="41" t="s">
        <v>23</v>
      </c>
      <c r="B35" s="42">
        <v>46237</v>
      </c>
      <c r="C35" s="40">
        <f t="shared" si="1"/>
        <v>100</v>
      </c>
    </row>
    <row r="36" spans="1:3" x14ac:dyDescent="0.25">
      <c r="A36" s="41" t="s">
        <v>23</v>
      </c>
      <c r="B36" s="42">
        <v>46238</v>
      </c>
      <c r="C36" s="40">
        <f t="shared" si="1"/>
        <v>100</v>
      </c>
    </row>
    <row r="37" spans="1:3" x14ac:dyDescent="0.25">
      <c r="A37" s="39" t="s">
        <v>23</v>
      </c>
      <c r="B37" s="42">
        <v>46239</v>
      </c>
      <c r="C37" s="40">
        <f t="shared" si="1"/>
        <v>100</v>
      </c>
    </row>
    <row r="38" spans="1:3" x14ac:dyDescent="0.25">
      <c r="A38" s="39" t="s">
        <v>23</v>
      </c>
      <c r="B38" s="42">
        <v>46240</v>
      </c>
      <c r="C38" s="40">
        <f t="shared" si="1"/>
        <v>100</v>
      </c>
    </row>
    <row r="39" spans="1:3" x14ac:dyDescent="0.25">
      <c r="A39" s="39" t="s">
        <v>23</v>
      </c>
      <c r="B39" s="42">
        <v>46241</v>
      </c>
      <c r="C39" s="40">
        <f t="shared" si="1"/>
        <v>100</v>
      </c>
    </row>
    <row r="40" spans="1:3" x14ac:dyDescent="0.25">
      <c r="A40" s="39" t="s">
        <v>23</v>
      </c>
      <c r="B40" s="42">
        <v>46242</v>
      </c>
      <c r="C40" s="40">
        <f t="shared" si="1"/>
        <v>100</v>
      </c>
    </row>
    <row r="41" spans="1:3" x14ac:dyDescent="0.25">
      <c r="A41" s="41" t="s">
        <v>23</v>
      </c>
      <c r="B41" s="42">
        <v>46243</v>
      </c>
      <c r="C41" s="40">
        <f t="shared" si="1"/>
        <v>100</v>
      </c>
    </row>
    <row r="42" spans="1:3" x14ac:dyDescent="0.25">
      <c r="A42" s="41" t="s">
        <v>23</v>
      </c>
      <c r="B42" s="42">
        <v>46244</v>
      </c>
      <c r="C42" s="40">
        <f t="shared" si="1"/>
        <v>100</v>
      </c>
    </row>
    <row r="43" spans="1:3" x14ac:dyDescent="0.25">
      <c r="A43" s="41" t="s">
        <v>23</v>
      </c>
      <c r="B43" s="42">
        <v>46245</v>
      </c>
      <c r="C43" s="40">
        <f t="shared" si="1"/>
        <v>100</v>
      </c>
    </row>
    <row r="44" spans="1:3" x14ac:dyDescent="0.25">
      <c r="A44" s="39" t="s">
        <v>23</v>
      </c>
      <c r="B44" s="42">
        <v>46246</v>
      </c>
      <c r="C44" s="40">
        <f t="shared" si="1"/>
        <v>100</v>
      </c>
    </row>
    <row r="45" spans="1:3" x14ac:dyDescent="0.25">
      <c r="A45" s="39" t="s">
        <v>23</v>
      </c>
      <c r="B45" s="42">
        <v>46247</v>
      </c>
      <c r="C45" s="40">
        <f t="shared" si="1"/>
        <v>100</v>
      </c>
    </row>
    <row r="46" spans="1:3" x14ac:dyDescent="0.25">
      <c r="A46" s="39" t="s">
        <v>23</v>
      </c>
      <c r="B46" s="42">
        <v>46248</v>
      </c>
      <c r="C46" s="40">
        <f t="shared" si="1"/>
        <v>100</v>
      </c>
    </row>
    <row r="47" spans="1:3" x14ac:dyDescent="0.25">
      <c r="A47" s="39" t="s">
        <v>23</v>
      </c>
      <c r="B47" s="42">
        <v>46249</v>
      </c>
      <c r="C47" s="40">
        <f t="shared" si="1"/>
        <v>100</v>
      </c>
    </row>
    <row r="48" spans="1:3" x14ac:dyDescent="0.25">
      <c r="A48" s="41" t="s">
        <v>23</v>
      </c>
      <c r="B48" s="42">
        <v>46250</v>
      </c>
      <c r="C48" s="40">
        <f t="shared" si="1"/>
        <v>100</v>
      </c>
    </row>
    <row r="49" spans="1:3" x14ac:dyDescent="0.25">
      <c r="A49" s="41" t="s">
        <v>23</v>
      </c>
      <c r="B49" s="42">
        <v>46251</v>
      </c>
      <c r="C49" s="40">
        <f t="shared" si="1"/>
        <v>100</v>
      </c>
    </row>
    <row r="50" spans="1:3" x14ac:dyDescent="0.25">
      <c r="A50" s="41" t="s">
        <v>23</v>
      </c>
      <c r="B50" s="42">
        <v>46252</v>
      </c>
      <c r="C50" s="40">
        <f t="shared" si="1"/>
        <v>100</v>
      </c>
    </row>
    <row r="51" spans="1:3" x14ac:dyDescent="0.25">
      <c r="A51" s="39" t="s">
        <v>23</v>
      </c>
      <c r="B51" s="42">
        <v>46253</v>
      </c>
      <c r="C51" s="40">
        <f t="shared" si="1"/>
        <v>100</v>
      </c>
    </row>
    <row r="52" spans="1:3" x14ac:dyDescent="0.25">
      <c r="A52" s="39" t="s">
        <v>23</v>
      </c>
      <c r="B52" s="42">
        <v>46254</v>
      </c>
      <c r="C52" s="40">
        <f t="shared" si="1"/>
        <v>100</v>
      </c>
    </row>
    <row r="53" spans="1:3" x14ac:dyDescent="0.25">
      <c r="A53" s="39" t="s">
        <v>23</v>
      </c>
      <c r="B53" s="42">
        <v>46255</v>
      </c>
      <c r="C53" s="40">
        <f t="shared" si="1"/>
        <v>100</v>
      </c>
    </row>
    <row r="54" spans="1:3" x14ac:dyDescent="0.25">
      <c r="A54" s="39" t="s">
        <v>23</v>
      </c>
      <c r="B54" s="42">
        <v>46256</v>
      </c>
      <c r="C54" s="40">
        <f t="shared" si="1"/>
        <v>100</v>
      </c>
    </row>
    <row r="55" spans="1:3" x14ac:dyDescent="0.25">
      <c r="A55" s="41" t="s">
        <v>23</v>
      </c>
      <c r="B55" s="42">
        <v>46257</v>
      </c>
      <c r="C55" s="40">
        <f t="shared" si="1"/>
        <v>100</v>
      </c>
    </row>
    <row r="56" spans="1:3" x14ac:dyDescent="0.25">
      <c r="A56" s="41" t="s">
        <v>23</v>
      </c>
      <c r="B56" s="42">
        <v>46258</v>
      </c>
      <c r="C56" s="40">
        <f t="shared" si="1"/>
        <v>100</v>
      </c>
    </row>
    <row r="57" spans="1:3" x14ac:dyDescent="0.25">
      <c r="A57" s="41" t="s">
        <v>23</v>
      </c>
      <c r="B57" s="42">
        <v>46259</v>
      </c>
      <c r="C57" s="40">
        <f t="shared" si="1"/>
        <v>100</v>
      </c>
    </row>
    <row r="58" spans="1:3" x14ac:dyDescent="0.25">
      <c r="A58" s="39" t="s">
        <v>23</v>
      </c>
      <c r="B58" s="42">
        <v>46260</v>
      </c>
      <c r="C58" s="40">
        <f t="shared" si="1"/>
        <v>100</v>
      </c>
    </row>
    <row r="59" spans="1:3" x14ac:dyDescent="0.25">
      <c r="A59" s="39" t="s">
        <v>23</v>
      </c>
      <c r="B59" s="42">
        <v>46261</v>
      </c>
      <c r="C59" s="40">
        <f t="shared" si="1"/>
        <v>100</v>
      </c>
    </row>
    <row r="60" spans="1:3" x14ac:dyDescent="0.25">
      <c r="A60" s="39" t="s">
        <v>23</v>
      </c>
      <c r="B60" s="42">
        <v>46262</v>
      </c>
      <c r="C60" s="40">
        <f t="shared" si="1"/>
        <v>100</v>
      </c>
    </row>
    <row r="61" spans="1:3" x14ac:dyDescent="0.25">
      <c r="A61" s="39" t="s">
        <v>23</v>
      </c>
      <c r="B61" s="42">
        <v>46263</v>
      </c>
      <c r="C61" s="40">
        <f t="shared" si="1"/>
        <v>100</v>
      </c>
    </row>
    <row r="62" spans="1:3" x14ac:dyDescent="0.25">
      <c r="A62" s="41" t="s">
        <v>23</v>
      </c>
      <c r="B62" s="42">
        <v>46264</v>
      </c>
      <c r="C62" s="40">
        <f t="shared" si="1"/>
        <v>100</v>
      </c>
    </row>
    <row r="63" spans="1:3" x14ac:dyDescent="0.25">
      <c r="A63" s="41" t="s">
        <v>23</v>
      </c>
      <c r="B63" s="42">
        <v>46265</v>
      </c>
      <c r="C63" s="40">
        <f t="shared" si="1"/>
        <v>100</v>
      </c>
    </row>
    <row r="64" spans="1:3" x14ac:dyDescent="0.25">
      <c r="A64" s="41" t="s">
        <v>24</v>
      </c>
      <c r="B64" s="42">
        <v>46235</v>
      </c>
      <c r="C64" s="40">
        <f t="shared" si="1"/>
        <v>100</v>
      </c>
    </row>
    <row r="65" spans="1:4" x14ac:dyDescent="0.25">
      <c r="A65" s="39" t="s">
        <v>24</v>
      </c>
      <c r="B65" s="42">
        <v>46236</v>
      </c>
      <c r="C65" s="40">
        <f t="shared" si="1"/>
        <v>100</v>
      </c>
    </row>
    <row r="66" spans="1:4" x14ac:dyDescent="0.25">
      <c r="A66" s="39" t="s">
        <v>24</v>
      </c>
      <c r="B66" s="42">
        <v>46237</v>
      </c>
      <c r="C66" s="40">
        <f t="shared" ref="C66:C97" si="2">IF(D66="",100,MAX(0,(1440-D66)/1440*100))</f>
        <v>100</v>
      </c>
    </row>
    <row r="67" spans="1:4" x14ac:dyDescent="0.25">
      <c r="A67" s="39" t="s">
        <v>24</v>
      </c>
      <c r="B67" s="42">
        <v>46238</v>
      </c>
      <c r="C67" s="40">
        <f t="shared" si="2"/>
        <v>99.652777777777786</v>
      </c>
      <c r="D67" s="36">
        <v>5</v>
      </c>
    </row>
    <row r="68" spans="1:4" x14ac:dyDescent="0.25">
      <c r="A68" s="39" t="s">
        <v>24</v>
      </c>
      <c r="B68" s="42">
        <v>46239</v>
      </c>
      <c r="C68" s="40">
        <f t="shared" si="2"/>
        <v>100</v>
      </c>
    </row>
    <row r="69" spans="1:4" x14ac:dyDescent="0.25">
      <c r="A69" s="41" t="s">
        <v>24</v>
      </c>
      <c r="B69" s="42">
        <v>46240</v>
      </c>
      <c r="C69" s="40">
        <f t="shared" si="2"/>
        <v>100</v>
      </c>
    </row>
    <row r="70" spans="1:4" x14ac:dyDescent="0.25">
      <c r="A70" s="41" t="s">
        <v>24</v>
      </c>
      <c r="B70" s="42">
        <v>46241</v>
      </c>
      <c r="C70" s="40">
        <f t="shared" si="2"/>
        <v>100</v>
      </c>
    </row>
    <row r="71" spans="1:4" x14ac:dyDescent="0.25">
      <c r="A71" s="41" t="s">
        <v>24</v>
      </c>
      <c r="B71" s="42">
        <v>46242</v>
      </c>
      <c r="C71" s="40">
        <f t="shared" si="2"/>
        <v>100</v>
      </c>
    </row>
    <row r="72" spans="1:4" x14ac:dyDescent="0.25">
      <c r="A72" s="39" t="s">
        <v>24</v>
      </c>
      <c r="B72" s="42">
        <v>46243</v>
      </c>
      <c r="C72" s="40">
        <f t="shared" si="2"/>
        <v>100</v>
      </c>
    </row>
    <row r="73" spans="1:4" x14ac:dyDescent="0.25">
      <c r="A73" s="39" t="s">
        <v>24</v>
      </c>
      <c r="B73" s="42">
        <v>46244</v>
      </c>
      <c r="C73" s="40">
        <f t="shared" si="2"/>
        <v>100</v>
      </c>
    </row>
    <row r="74" spans="1:4" x14ac:dyDescent="0.25">
      <c r="A74" s="39" t="s">
        <v>24</v>
      </c>
      <c r="B74" s="42">
        <v>46245</v>
      </c>
      <c r="C74" s="40">
        <f t="shared" si="2"/>
        <v>100</v>
      </c>
    </row>
    <row r="75" spans="1:4" x14ac:dyDescent="0.25">
      <c r="A75" s="39" t="s">
        <v>24</v>
      </c>
      <c r="B75" s="42">
        <v>46246</v>
      </c>
      <c r="C75" s="40">
        <f t="shared" si="2"/>
        <v>100</v>
      </c>
    </row>
    <row r="76" spans="1:4" x14ac:dyDescent="0.25">
      <c r="A76" s="41" t="s">
        <v>24</v>
      </c>
      <c r="B76" s="42">
        <v>46247</v>
      </c>
      <c r="C76" s="40">
        <f t="shared" si="2"/>
        <v>100</v>
      </c>
    </row>
    <row r="77" spans="1:4" x14ac:dyDescent="0.25">
      <c r="A77" s="41" t="s">
        <v>24</v>
      </c>
      <c r="B77" s="42">
        <v>46248</v>
      </c>
      <c r="C77" s="40">
        <f t="shared" si="2"/>
        <v>100</v>
      </c>
    </row>
    <row r="78" spans="1:4" x14ac:dyDescent="0.25">
      <c r="A78" s="41" t="s">
        <v>24</v>
      </c>
      <c r="B78" s="42">
        <v>46249</v>
      </c>
      <c r="C78" s="40">
        <f t="shared" si="2"/>
        <v>100</v>
      </c>
    </row>
    <row r="79" spans="1:4" x14ac:dyDescent="0.25">
      <c r="A79" s="39" t="s">
        <v>24</v>
      </c>
      <c r="B79" s="42">
        <v>46250</v>
      </c>
      <c r="C79" s="40">
        <f t="shared" si="2"/>
        <v>100</v>
      </c>
    </row>
    <row r="80" spans="1:4" x14ac:dyDescent="0.25">
      <c r="A80" s="39" t="s">
        <v>24</v>
      </c>
      <c r="B80" s="42">
        <v>46251</v>
      </c>
      <c r="C80" s="40">
        <f t="shared" si="2"/>
        <v>100</v>
      </c>
    </row>
    <row r="81" spans="1:3" x14ac:dyDescent="0.25">
      <c r="A81" s="39" t="s">
        <v>24</v>
      </c>
      <c r="B81" s="42">
        <v>46252</v>
      </c>
      <c r="C81" s="40">
        <f t="shared" si="2"/>
        <v>100</v>
      </c>
    </row>
    <row r="82" spans="1:3" x14ac:dyDescent="0.25">
      <c r="A82" s="39" t="s">
        <v>24</v>
      </c>
      <c r="B82" s="42">
        <v>46253</v>
      </c>
      <c r="C82" s="40">
        <f t="shared" si="2"/>
        <v>100</v>
      </c>
    </row>
    <row r="83" spans="1:3" x14ac:dyDescent="0.25">
      <c r="A83" s="41" t="s">
        <v>24</v>
      </c>
      <c r="B83" s="42">
        <v>46254</v>
      </c>
      <c r="C83" s="40">
        <f t="shared" si="2"/>
        <v>100</v>
      </c>
    </row>
    <row r="84" spans="1:3" x14ac:dyDescent="0.25">
      <c r="A84" s="41" t="s">
        <v>24</v>
      </c>
      <c r="B84" s="42">
        <v>46255</v>
      </c>
      <c r="C84" s="40">
        <f t="shared" si="2"/>
        <v>100</v>
      </c>
    </row>
    <row r="85" spans="1:3" x14ac:dyDescent="0.25">
      <c r="A85" s="41" t="s">
        <v>24</v>
      </c>
      <c r="B85" s="42">
        <v>46256</v>
      </c>
      <c r="C85" s="40">
        <f t="shared" si="2"/>
        <v>100</v>
      </c>
    </row>
    <row r="86" spans="1:3" x14ac:dyDescent="0.25">
      <c r="A86" s="39" t="s">
        <v>24</v>
      </c>
      <c r="B86" s="42">
        <v>46257</v>
      </c>
      <c r="C86" s="40">
        <f t="shared" si="2"/>
        <v>100</v>
      </c>
    </row>
    <row r="87" spans="1:3" x14ac:dyDescent="0.25">
      <c r="A87" s="39" t="s">
        <v>24</v>
      </c>
      <c r="B87" s="42">
        <v>46258</v>
      </c>
      <c r="C87" s="40">
        <f t="shared" si="2"/>
        <v>100</v>
      </c>
    </row>
    <row r="88" spans="1:3" x14ac:dyDescent="0.25">
      <c r="A88" s="39" t="s">
        <v>24</v>
      </c>
      <c r="B88" s="42">
        <v>46259</v>
      </c>
      <c r="C88" s="40">
        <f t="shared" si="2"/>
        <v>100</v>
      </c>
    </row>
    <row r="89" spans="1:3" x14ac:dyDescent="0.25">
      <c r="A89" s="39" t="s">
        <v>24</v>
      </c>
      <c r="B89" s="42">
        <v>46260</v>
      </c>
      <c r="C89" s="40">
        <f t="shared" si="2"/>
        <v>100</v>
      </c>
    </row>
    <row r="90" spans="1:3" x14ac:dyDescent="0.25">
      <c r="A90" s="41" t="s">
        <v>24</v>
      </c>
      <c r="B90" s="42">
        <v>46261</v>
      </c>
      <c r="C90" s="40">
        <f t="shared" si="2"/>
        <v>100</v>
      </c>
    </row>
    <row r="91" spans="1:3" x14ac:dyDescent="0.25">
      <c r="A91" s="41" t="s">
        <v>24</v>
      </c>
      <c r="B91" s="42">
        <v>46262</v>
      </c>
      <c r="C91" s="40">
        <f t="shared" si="2"/>
        <v>100</v>
      </c>
    </row>
    <row r="92" spans="1:3" x14ac:dyDescent="0.25">
      <c r="A92" s="41" t="s">
        <v>24</v>
      </c>
      <c r="B92" s="42">
        <v>46263</v>
      </c>
      <c r="C92" s="40">
        <f t="shared" si="2"/>
        <v>100</v>
      </c>
    </row>
    <row r="93" spans="1:3" x14ac:dyDescent="0.25">
      <c r="A93" s="39" t="s">
        <v>24</v>
      </c>
      <c r="B93" s="42">
        <v>46264</v>
      </c>
      <c r="C93" s="40">
        <f t="shared" si="2"/>
        <v>100</v>
      </c>
    </row>
    <row r="94" spans="1:3" x14ac:dyDescent="0.25">
      <c r="A94" s="39" t="s">
        <v>24</v>
      </c>
      <c r="B94" s="42">
        <v>46265</v>
      </c>
      <c r="C94" s="40">
        <f t="shared" si="2"/>
        <v>100</v>
      </c>
    </row>
    <row r="95" spans="1:3" x14ac:dyDescent="0.25">
      <c r="A95" s="39" t="s">
        <v>52</v>
      </c>
      <c r="B95" s="42">
        <v>46235</v>
      </c>
      <c r="C95" s="40">
        <f t="shared" si="2"/>
        <v>100</v>
      </c>
    </row>
    <row r="96" spans="1:3" x14ac:dyDescent="0.25">
      <c r="A96" s="39" t="s">
        <v>52</v>
      </c>
      <c r="B96" s="42">
        <v>46236</v>
      </c>
      <c r="C96" s="40">
        <f t="shared" si="2"/>
        <v>100</v>
      </c>
    </row>
    <row r="97" spans="1:4" x14ac:dyDescent="0.25">
      <c r="A97" s="41" t="s">
        <v>52</v>
      </c>
      <c r="B97" s="42">
        <v>46237</v>
      </c>
      <c r="C97" s="40">
        <f t="shared" si="2"/>
        <v>99.305555555555557</v>
      </c>
      <c r="D97" s="36">
        <v>10</v>
      </c>
    </row>
    <row r="98" spans="1:4" x14ac:dyDescent="0.25">
      <c r="A98" s="41" t="s">
        <v>52</v>
      </c>
      <c r="B98" s="42">
        <v>46238</v>
      </c>
      <c r="C98" s="40">
        <f t="shared" ref="C98:C161" si="3">IF(D98="",100,MAX(0,(1440-D98)/1440*100))</f>
        <v>100</v>
      </c>
    </row>
    <row r="99" spans="1:4" x14ac:dyDescent="0.25">
      <c r="A99" s="41" t="s">
        <v>52</v>
      </c>
      <c r="B99" s="42">
        <v>46239</v>
      </c>
      <c r="C99" s="40">
        <f t="shared" si="3"/>
        <v>100</v>
      </c>
    </row>
    <row r="100" spans="1:4" x14ac:dyDescent="0.25">
      <c r="A100" s="39" t="s">
        <v>52</v>
      </c>
      <c r="B100" s="42">
        <v>46240</v>
      </c>
      <c r="C100" s="40">
        <f t="shared" si="3"/>
        <v>100</v>
      </c>
    </row>
    <row r="101" spans="1:4" x14ac:dyDescent="0.25">
      <c r="A101" s="39" t="s">
        <v>52</v>
      </c>
      <c r="B101" s="42">
        <v>46241</v>
      </c>
      <c r="C101" s="40">
        <f t="shared" si="3"/>
        <v>100</v>
      </c>
    </row>
    <row r="102" spans="1:4" x14ac:dyDescent="0.25">
      <c r="A102" s="39" t="s">
        <v>52</v>
      </c>
      <c r="B102" s="42">
        <v>46242</v>
      </c>
      <c r="C102" s="40">
        <f t="shared" si="3"/>
        <v>100</v>
      </c>
    </row>
    <row r="103" spans="1:4" x14ac:dyDescent="0.25">
      <c r="A103" s="39" t="s">
        <v>52</v>
      </c>
      <c r="B103" s="42">
        <v>46243</v>
      </c>
      <c r="C103" s="40">
        <f t="shared" si="3"/>
        <v>100</v>
      </c>
    </row>
    <row r="104" spans="1:4" x14ac:dyDescent="0.25">
      <c r="A104" s="41" t="s">
        <v>52</v>
      </c>
      <c r="B104" s="42">
        <v>46244</v>
      </c>
      <c r="C104" s="40">
        <f t="shared" si="3"/>
        <v>100</v>
      </c>
    </row>
    <row r="105" spans="1:4" x14ac:dyDescent="0.25">
      <c r="A105" s="41" t="s">
        <v>52</v>
      </c>
      <c r="B105" s="42">
        <v>46245</v>
      </c>
      <c r="C105" s="40">
        <f t="shared" si="3"/>
        <v>100</v>
      </c>
    </row>
    <row r="106" spans="1:4" x14ac:dyDescent="0.25">
      <c r="A106" s="41" t="s">
        <v>52</v>
      </c>
      <c r="B106" s="42">
        <v>46246</v>
      </c>
      <c r="C106" s="40">
        <f t="shared" si="3"/>
        <v>100</v>
      </c>
    </row>
    <row r="107" spans="1:4" x14ac:dyDescent="0.25">
      <c r="A107" s="39" t="s">
        <v>52</v>
      </c>
      <c r="B107" s="42">
        <v>46247</v>
      </c>
      <c r="C107" s="40">
        <f t="shared" si="3"/>
        <v>100</v>
      </c>
    </row>
    <row r="108" spans="1:4" x14ac:dyDescent="0.25">
      <c r="A108" s="39" t="s">
        <v>52</v>
      </c>
      <c r="B108" s="42">
        <v>46248</v>
      </c>
      <c r="C108" s="40">
        <f t="shared" si="3"/>
        <v>100</v>
      </c>
    </row>
    <row r="109" spans="1:4" x14ac:dyDescent="0.25">
      <c r="A109" s="39" t="s">
        <v>52</v>
      </c>
      <c r="B109" s="42">
        <v>46249</v>
      </c>
      <c r="C109" s="40">
        <f t="shared" si="3"/>
        <v>100</v>
      </c>
    </row>
    <row r="110" spans="1:4" x14ac:dyDescent="0.25">
      <c r="A110" s="39" t="s">
        <v>52</v>
      </c>
      <c r="B110" s="42">
        <v>46250</v>
      </c>
      <c r="C110" s="40">
        <f t="shared" si="3"/>
        <v>100</v>
      </c>
    </row>
    <row r="111" spans="1:4" x14ac:dyDescent="0.25">
      <c r="A111" s="41" t="s">
        <v>52</v>
      </c>
      <c r="B111" s="42">
        <v>46251</v>
      </c>
      <c r="C111" s="40">
        <f t="shared" si="3"/>
        <v>100</v>
      </c>
    </row>
    <row r="112" spans="1:4" x14ac:dyDescent="0.25">
      <c r="A112" s="41" t="s">
        <v>52</v>
      </c>
      <c r="B112" s="42">
        <v>46252</v>
      </c>
      <c r="C112" s="40">
        <f t="shared" si="3"/>
        <v>100</v>
      </c>
    </row>
    <row r="113" spans="1:4" x14ac:dyDescent="0.25">
      <c r="A113" s="41" t="s">
        <v>52</v>
      </c>
      <c r="B113" s="42">
        <v>46253</v>
      </c>
      <c r="C113" s="40">
        <f t="shared" si="3"/>
        <v>100</v>
      </c>
    </row>
    <row r="114" spans="1:4" x14ac:dyDescent="0.25">
      <c r="A114" s="39" t="s">
        <v>52</v>
      </c>
      <c r="B114" s="42">
        <v>46254</v>
      </c>
      <c r="C114" s="40">
        <f t="shared" si="3"/>
        <v>100</v>
      </c>
    </row>
    <row r="115" spans="1:4" x14ac:dyDescent="0.25">
      <c r="A115" s="39" t="s">
        <v>52</v>
      </c>
      <c r="B115" s="42">
        <v>46255</v>
      </c>
      <c r="C115" s="40">
        <f t="shared" si="3"/>
        <v>100</v>
      </c>
    </row>
    <row r="116" spans="1:4" x14ac:dyDescent="0.25">
      <c r="A116" s="39" t="s">
        <v>52</v>
      </c>
      <c r="B116" s="42">
        <v>46256</v>
      </c>
      <c r="C116" s="40">
        <f t="shared" si="3"/>
        <v>100</v>
      </c>
    </row>
    <row r="117" spans="1:4" x14ac:dyDescent="0.25">
      <c r="A117" s="39" t="s">
        <v>52</v>
      </c>
      <c r="B117" s="42">
        <v>46257</v>
      </c>
      <c r="C117" s="40">
        <f t="shared" si="3"/>
        <v>100</v>
      </c>
    </row>
    <row r="118" spans="1:4" x14ac:dyDescent="0.25">
      <c r="A118" s="41" t="s">
        <v>52</v>
      </c>
      <c r="B118" s="42">
        <v>46258</v>
      </c>
      <c r="C118" s="40">
        <f t="shared" si="3"/>
        <v>100</v>
      </c>
    </row>
    <row r="119" spans="1:4" x14ac:dyDescent="0.25">
      <c r="A119" s="41" t="s">
        <v>52</v>
      </c>
      <c r="B119" s="42">
        <v>46259</v>
      </c>
      <c r="C119" s="40">
        <f t="shared" si="3"/>
        <v>100</v>
      </c>
    </row>
    <row r="120" spans="1:4" x14ac:dyDescent="0.25">
      <c r="A120" s="41" t="s">
        <v>52</v>
      </c>
      <c r="B120" s="42">
        <v>46260</v>
      </c>
      <c r="C120" s="40">
        <f t="shared" si="3"/>
        <v>100</v>
      </c>
    </row>
    <row r="121" spans="1:4" x14ac:dyDescent="0.25">
      <c r="A121" s="39" t="s">
        <v>52</v>
      </c>
      <c r="B121" s="42">
        <v>46261</v>
      </c>
      <c r="C121" s="40">
        <f t="shared" si="3"/>
        <v>100</v>
      </c>
    </row>
    <row r="122" spans="1:4" x14ac:dyDescent="0.25">
      <c r="A122" s="39" t="s">
        <v>52</v>
      </c>
      <c r="B122" s="42">
        <v>46262</v>
      </c>
      <c r="C122" s="40">
        <f t="shared" si="3"/>
        <v>100</v>
      </c>
    </row>
    <row r="123" spans="1:4" x14ac:dyDescent="0.25">
      <c r="A123" s="39" t="s">
        <v>52</v>
      </c>
      <c r="B123" s="42">
        <v>46263</v>
      </c>
      <c r="C123" s="40">
        <f t="shared" si="3"/>
        <v>100</v>
      </c>
    </row>
    <row r="124" spans="1:4" x14ac:dyDescent="0.25">
      <c r="A124" s="39" t="s">
        <v>52</v>
      </c>
      <c r="B124" s="42">
        <v>46264</v>
      </c>
      <c r="C124" s="40">
        <f t="shared" si="3"/>
        <v>100</v>
      </c>
    </row>
    <row r="125" spans="1:4" x14ac:dyDescent="0.25">
      <c r="A125" s="41" t="s">
        <v>52</v>
      </c>
      <c r="B125" s="42">
        <v>46265</v>
      </c>
      <c r="C125" s="40">
        <f t="shared" si="3"/>
        <v>100</v>
      </c>
    </row>
    <row r="126" spans="1:4" x14ac:dyDescent="0.25">
      <c r="A126" s="39" t="s">
        <v>42</v>
      </c>
      <c r="B126" s="42">
        <v>46266</v>
      </c>
      <c r="C126" s="40">
        <f t="shared" si="3"/>
        <v>100</v>
      </c>
    </row>
    <row r="127" spans="1:4" x14ac:dyDescent="0.25">
      <c r="A127" s="39" t="s">
        <v>42</v>
      </c>
      <c r="B127" s="42">
        <v>46267</v>
      </c>
      <c r="C127" s="40">
        <f t="shared" si="3"/>
        <v>99.513888888888886</v>
      </c>
      <c r="D127" s="36">
        <v>7</v>
      </c>
    </row>
    <row r="128" spans="1:4" x14ac:dyDescent="0.25">
      <c r="A128" s="39" t="s">
        <v>42</v>
      </c>
      <c r="B128" s="42">
        <v>46268</v>
      </c>
      <c r="C128" s="40">
        <f t="shared" si="3"/>
        <v>100</v>
      </c>
    </row>
    <row r="129" spans="1:3" x14ac:dyDescent="0.25">
      <c r="A129" s="39" t="s">
        <v>42</v>
      </c>
      <c r="B129" s="42">
        <v>46269</v>
      </c>
      <c r="C129" s="40">
        <f t="shared" si="3"/>
        <v>100</v>
      </c>
    </row>
    <row r="130" spans="1:3" x14ac:dyDescent="0.25">
      <c r="A130" s="41" t="s">
        <v>42</v>
      </c>
      <c r="B130" s="42">
        <v>46270</v>
      </c>
      <c r="C130" s="40">
        <f t="shared" si="3"/>
        <v>100</v>
      </c>
    </row>
    <row r="131" spans="1:3" x14ac:dyDescent="0.25">
      <c r="A131" s="41" t="s">
        <v>42</v>
      </c>
      <c r="B131" s="42">
        <v>46271</v>
      </c>
      <c r="C131" s="40">
        <f t="shared" si="3"/>
        <v>100</v>
      </c>
    </row>
    <row r="132" spans="1:3" x14ac:dyDescent="0.25">
      <c r="A132" s="41" t="s">
        <v>42</v>
      </c>
      <c r="B132" s="42">
        <v>46272</v>
      </c>
      <c r="C132" s="40">
        <f t="shared" si="3"/>
        <v>100</v>
      </c>
    </row>
    <row r="133" spans="1:3" x14ac:dyDescent="0.25">
      <c r="A133" s="39" t="s">
        <v>42</v>
      </c>
      <c r="B133" s="42">
        <v>46273</v>
      </c>
      <c r="C133" s="40">
        <f t="shared" si="3"/>
        <v>100</v>
      </c>
    </row>
    <row r="134" spans="1:3" x14ac:dyDescent="0.25">
      <c r="A134" s="39" t="s">
        <v>42</v>
      </c>
      <c r="B134" s="42">
        <v>46274</v>
      </c>
      <c r="C134" s="40">
        <f t="shared" si="3"/>
        <v>100</v>
      </c>
    </row>
    <row r="135" spans="1:3" x14ac:dyDescent="0.25">
      <c r="A135" s="39" t="s">
        <v>42</v>
      </c>
      <c r="B135" s="42">
        <v>46275</v>
      </c>
      <c r="C135" s="40">
        <f t="shared" si="3"/>
        <v>100</v>
      </c>
    </row>
    <row r="136" spans="1:3" x14ac:dyDescent="0.25">
      <c r="A136" s="39" t="s">
        <v>42</v>
      </c>
      <c r="B136" s="42">
        <v>46276</v>
      </c>
      <c r="C136" s="40">
        <f t="shared" si="3"/>
        <v>100</v>
      </c>
    </row>
    <row r="137" spans="1:3" x14ac:dyDescent="0.25">
      <c r="A137" s="41" t="s">
        <v>42</v>
      </c>
      <c r="B137" s="42">
        <v>46277</v>
      </c>
      <c r="C137" s="40">
        <f t="shared" si="3"/>
        <v>100</v>
      </c>
    </row>
    <row r="138" spans="1:3" x14ac:dyDescent="0.25">
      <c r="A138" s="41" t="s">
        <v>42</v>
      </c>
      <c r="B138" s="42">
        <v>46278</v>
      </c>
      <c r="C138" s="40">
        <f t="shared" si="3"/>
        <v>100</v>
      </c>
    </row>
    <row r="139" spans="1:3" x14ac:dyDescent="0.25">
      <c r="A139" s="41" t="s">
        <v>42</v>
      </c>
      <c r="B139" s="42">
        <v>46279</v>
      </c>
      <c r="C139" s="40">
        <f t="shared" si="3"/>
        <v>100</v>
      </c>
    </row>
    <row r="140" spans="1:3" x14ac:dyDescent="0.25">
      <c r="A140" s="39" t="s">
        <v>42</v>
      </c>
      <c r="B140" s="42">
        <v>46280</v>
      </c>
      <c r="C140" s="40">
        <f t="shared" si="3"/>
        <v>100</v>
      </c>
    </row>
    <row r="141" spans="1:3" x14ac:dyDescent="0.25">
      <c r="A141" s="39" t="s">
        <v>42</v>
      </c>
      <c r="B141" s="42">
        <v>46281</v>
      </c>
      <c r="C141" s="40">
        <f t="shared" si="3"/>
        <v>100</v>
      </c>
    </row>
    <row r="142" spans="1:3" x14ac:dyDescent="0.25">
      <c r="A142" s="39" t="s">
        <v>42</v>
      </c>
      <c r="B142" s="42">
        <v>46282</v>
      </c>
      <c r="C142" s="40">
        <f t="shared" si="3"/>
        <v>100</v>
      </c>
    </row>
    <row r="143" spans="1:3" x14ac:dyDescent="0.25">
      <c r="A143" s="39" t="s">
        <v>42</v>
      </c>
      <c r="B143" s="42">
        <v>46283</v>
      </c>
      <c r="C143" s="40">
        <f t="shared" si="3"/>
        <v>100</v>
      </c>
    </row>
    <row r="144" spans="1:3" x14ac:dyDescent="0.25">
      <c r="A144" s="41" t="s">
        <v>42</v>
      </c>
      <c r="B144" s="42">
        <v>46284</v>
      </c>
      <c r="C144" s="40">
        <f t="shared" si="3"/>
        <v>100</v>
      </c>
    </row>
    <row r="145" spans="1:3" x14ac:dyDescent="0.25">
      <c r="A145" s="41" t="s">
        <v>42</v>
      </c>
      <c r="B145" s="42">
        <v>46285</v>
      </c>
      <c r="C145" s="40">
        <f t="shared" si="3"/>
        <v>100</v>
      </c>
    </row>
    <row r="146" spans="1:3" x14ac:dyDescent="0.25">
      <c r="A146" s="41" t="s">
        <v>42</v>
      </c>
      <c r="B146" s="42">
        <v>46286</v>
      </c>
      <c r="C146" s="40">
        <f t="shared" si="3"/>
        <v>100</v>
      </c>
    </row>
    <row r="147" spans="1:3" x14ac:dyDescent="0.25">
      <c r="A147" s="39" t="s">
        <v>42</v>
      </c>
      <c r="B147" s="42">
        <v>46287</v>
      </c>
      <c r="C147" s="40">
        <f t="shared" si="3"/>
        <v>100</v>
      </c>
    </row>
    <row r="148" spans="1:3" x14ac:dyDescent="0.25">
      <c r="A148" s="39" t="s">
        <v>42</v>
      </c>
      <c r="B148" s="42">
        <v>46288</v>
      </c>
      <c r="C148" s="40">
        <f t="shared" si="3"/>
        <v>100</v>
      </c>
    </row>
    <row r="149" spans="1:3" x14ac:dyDescent="0.25">
      <c r="A149" s="39" t="s">
        <v>42</v>
      </c>
      <c r="B149" s="42">
        <v>46289</v>
      </c>
      <c r="C149" s="40">
        <f t="shared" si="3"/>
        <v>100</v>
      </c>
    </row>
    <row r="150" spans="1:3" x14ac:dyDescent="0.25">
      <c r="A150" s="39" t="s">
        <v>42</v>
      </c>
      <c r="B150" s="42">
        <v>46290</v>
      </c>
      <c r="C150" s="40">
        <f t="shared" si="3"/>
        <v>100</v>
      </c>
    </row>
    <row r="151" spans="1:3" x14ac:dyDescent="0.25">
      <c r="A151" s="41" t="s">
        <v>42</v>
      </c>
      <c r="B151" s="42">
        <v>46291</v>
      </c>
      <c r="C151" s="40">
        <f t="shared" si="3"/>
        <v>100</v>
      </c>
    </row>
    <row r="152" spans="1:3" x14ac:dyDescent="0.25">
      <c r="A152" s="41" t="s">
        <v>42</v>
      </c>
      <c r="B152" s="42">
        <v>46292</v>
      </c>
      <c r="C152" s="40">
        <f t="shared" si="3"/>
        <v>100</v>
      </c>
    </row>
    <row r="153" spans="1:3" x14ac:dyDescent="0.25">
      <c r="A153" s="41" t="s">
        <v>42</v>
      </c>
      <c r="B153" s="42">
        <v>46293</v>
      </c>
      <c r="C153" s="40">
        <f t="shared" si="3"/>
        <v>100</v>
      </c>
    </row>
    <row r="154" spans="1:3" x14ac:dyDescent="0.25">
      <c r="A154" s="39" t="s">
        <v>42</v>
      </c>
      <c r="B154" s="42">
        <v>46294</v>
      </c>
      <c r="C154" s="40">
        <f t="shared" si="3"/>
        <v>100</v>
      </c>
    </row>
    <row r="155" spans="1:3" x14ac:dyDescent="0.25">
      <c r="A155" s="39" t="s">
        <v>42</v>
      </c>
      <c r="B155" s="42">
        <v>46295</v>
      </c>
      <c r="C155" s="40">
        <f t="shared" si="3"/>
        <v>100</v>
      </c>
    </row>
    <row r="156" spans="1:3" x14ac:dyDescent="0.25">
      <c r="A156" s="41" t="s">
        <v>23</v>
      </c>
      <c r="B156" s="42">
        <v>46266</v>
      </c>
      <c r="C156" s="40">
        <f t="shared" si="3"/>
        <v>100</v>
      </c>
    </row>
    <row r="157" spans="1:3" x14ac:dyDescent="0.25">
      <c r="A157" s="41" t="s">
        <v>23</v>
      </c>
      <c r="B157" s="42">
        <v>46267</v>
      </c>
      <c r="C157" s="40">
        <f t="shared" si="3"/>
        <v>100</v>
      </c>
    </row>
    <row r="158" spans="1:3" x14ac:dyDescent="0.25">
      <c r="A158" s="41" t="s">
        <v>23</v>
      </c>
      <c r="B158" s="42">
        <v>46268</v>
      </c>
      <c r="C158" s="40">
        <f t="shared" si="3"/>
        <v>100</v>
      </c>
    </row>
    <row r="159" spans="1:3" x14ac:dyDescent="0.25">
      <c r="A159" s="39" t="s">
        <v>23</v>
      </c>
      <c r="B159" s="42">
        <v>46269</v>
      </c>
      <c r="C159" s="40">
        <f t="shared" si="3"/>
        <v>100</v>
      </c>
    </row>
    <row r="160" spans="1:3" x14ac:dyDescent="0.25">
      <c r="A160" s="39" t="s">
        <v>23</v>
      </c>
      <c r="B160" s="42">
        <v>46270</v>
      </c>
      <c r="C160" s="40">
        <f t="shared" si="3"/>
        <v>100</v>
      </c>
    </row>
    <row r="161" spans="1:3" x14ac:dyDescent="0.25">
      <c r="A161" s="39" t="s">
        <v>23</v>
      </c>
      <c r="B161" s="42">
        <v>46271</v>
      </c>
      <c r="C161" s="40">
        <f t="shared" si="3"/>
        <v>100</v>
      </c>
    </row>
    <row r="162" spans="1:3" x14ac:dyDescent="0.25">
      <c r="A162" s="39" t="s">
        <v>23</v>
      </c>
      <c r="B162" s="42">
        <v>46272</v>
      </c>
      <c r="C162" s="40">
        <f t="shared" ref="C162:C225" si="4">IF(D162="",100,MAX(0,(1440-D162)/1440*100))</f>
        <v>100</v>
      </c>
    </row>
    <row r="163" spans="1:3" x14ac:dyDescent="0.25">
      <c r="A163" s="41" t="s">
        <v>23</v>
      </c>
      <c r="B163" s="42">
        <v>46273</v>
      </c>
      <c r="C163" s="40">
        <f t="shared" si="4"/>
        <v>100</v>
      </c>
    </row>
    <row r="164" spans="1:3" x14ac:dyDescent="0.25">
      <c r="A164" s="41" t="s">
        <v>23</v>
      </c>
      <c r="B164" s="42">
        <v>46274</v>
      </c>
      <c r="C164" s="40">
        <f t="shared" si="4"/>
        <v>100</v>
      </c>
    </row>
    <row r="165" spans="1:3" x14ac:dyDescent="0.25">
      <c r="A165" s="41" t="s">
        <v>23</v>
      </c>
      <c r="B165" s="42">
        <v>46275</v>
      </c>
      <c r="C165" s="40">
        <f t="shared" si="4"/>
        <v>100</v>
      </c>
    </row>
    <row r="166" spans="1:3" x14ac:dyDescent="0.25">
      <c r="A166" s="39" t="s">
        <v>23</v>
      </c>
      <c r="B166" s="42">
        <v>46276</v>
      </c>
      <c r="C166" s="40">
        <f t="shared" si="4"/>
        <v>100</v>
      </c>
    </row>
    <row r="167" spans="1:3" x14ac:dyDescent="0.25">
      <c r="A167" s="39" t="s">
        <v>23</v>
      </c>
      <c r="B167" s="42">
        <v>46277</v>
      </c>
      <c r="C167" s="40">
        <f t="shared" si="4"/>
        <v>100</v>
      </c>
    </row>
    <row r="168" spans="1:3" x14ac:dyDescent="0.25">
      <c r="A168" s="39" t="s">
        <v>23</v>
      </c>
      <c r="B168" s="42">
        <v>46278</v>
      </c>
      <c r="C168" s="40">
        <f t="shared" si="4"/>
        <v>100</v>
      </c>
    </row>
    <row r="169" spans="1:3" x14ac:dyDescent="0.25">
      <c r="A169" s="39" t="s">
        <v>23</v>
      </c>
      <c r="B169" s="42">
        <v>46279</v>
      </c>
      <c r="C169" s="40">
        <f t="shared" si="4"/>
        <v>100</v>
      </c>
    </row>
    <row r="170" spans="1:3" x14ac:dyDescent="0.25">
      <c r="A170" s="41" t="s">
        <v>23</v>
      </c>
      <c r="B170" s="42">
        <v>46280</v>
      </c>
      <c r="C170" s="40">
        <f t="shared" si="4"/>
        <v>100</v>
      </c>
    </row>
    <row r="171" spans="1:3" x14ac:dyDescent="0.25">
      <c r="A171" s="41" t="s">
        <v>23</v>
      </c>
      <c r="B171" s="42">
        <v>46281</v>
      </c>
      <c r="C171" s="40">
        <f t="shared" si="4"/>
        <v>100</v>
      </c>
    </row>
    <row r="172" spans="1:3" x14ac:dyDescent="0.25">
      <c r="A172" s="41" t="s">
        <v>23</v>
      </c>
      <c r="B172" s="42">
        <v>46282</v>
      </c>
      <c r="C172" s="40">
        <f t="shared" si="4"/>
        <v>100</v>
      </c>
    </row>
    <row r="173" spans="1:3" x14ac:dyDescent="0.25">
      <c r="A173" s="39" t="s">
        <v>23</v>
      </c>
      <c r="B173" s="42">
        <v>46283</v>
      </c>
      <c r="C173" s="40">
        <f t="shared" si="4"/>
        <v>100</v>
      </c>
    </row>
    <row r="174" spans="1:3" x14ac:dyDescent="0.25">
      <c r="A174" s="39" t="s">
        <v>23</v>
      </c>
      <c r="B174" s="42">
        <v>46284</v>
      </c>
      <c r="C174" s="40">
        <f t="shared" si="4"/>
        <v>100</v>
      </c>
    </row>
    <row r="175" spans="1:3" x14ac:dyDescent="0.25">
      <c r="A175" s="39" t="s">
        <v>23</v>
      </c>
      <c r="B175" s="42">
        <v>46285</v>
      </c>
      <c r="C175" s="40">
        <f t="shared" si="4"/>
        <v>100</v>
      </c>
    </row>
    <row r="176" spans="1:3" x14ac:dyDescent="0.25">
      <c r="A176" s="39" t="s">
        <v>23</v>
      </c>
      <c r="B176" s="42">
        <v>46286</v>
      </c>
      <c r="C176" s="40">
        <f t="shared" si="4"/>
        <v>100</v>
      </c>
    </row>
    <row r="177" spans="1:4" x14ac:dyDescent="0.25">
      <c r="A177" s="41" t="s">
        <v>23</v>
      </c>
      <c r="B177" s="42">
        <v>46287</v>
      </c>
      <c r="C177" s="40">
        <f t="shared" si="4"/>
        <v>100</v>
      </c>
    </row>
    <row r="178" spans="1:4" x14ac:dyDescent="0.25">
      <c r="A178" s="41" t="s">
        <v>23</v>
      </c>
      <c r="B178" s="42">
        <v>46288</v>
      </c>
      <c r="C178" s="40">
        <f t="shared" si="4"/>
        <v>100</v>
      </c>
    </row>
    <row r="179" spans="1:4" x14ac:dyDescent="0.25">
      <c r="A179" s="41" t="s">
        <v>23</v>
      </c>
      <c r="B179" s="42">
        <v>46289</v>
      </c>
      <c r="C179" s="40">
        <f t="shared" si="4"/>
        <v>100</v>
      </c>
    </row>
    <row r="180" spans="1:4" x14ac:dyDescent="0.25">
      <c r="A180" s="39" t="s">
        <v>23</v>
      </c>
      <c r="B180" s="42">
        <v>46290</v>
      </c>
      <c r="C180" s="40">
        <f t="shared" si="4"/>
        <v>100</v>
      </c>
    </row>
    <row r="181" spans="1:4" x14ac:dyDescent="0.25">
      <c r="A181" s="39" t="s">
        <v>23</v>
      </c>
      <c r="B181" s="42">
        <v>46291</v>
      </c>
      <c r="C181" s="40">
        <f t="shared" si="4"/>
        <v>100</v>
      </c>
    </row>
    <row r="182" spans="1:4" x14ac:dyDescent="0.25">
      <c r="A182" s="39" t="s">
        <v>23</v>
      </c>
      <c r="B182" s="42">
        <v>46292</v>
      </c>
      <c r="C182" s="40">
        <f t="shared" si="4"/>
        <v>100</v>
      </c>
    </row>
    <row r="183" spans="1:4" x14ac:dyDescent="0.25">
      <c r="A183" s="39" t="s">
        <v>23</v>
      </c>
      <c r="B183" s="42">
        <v>46293</v>
      </c>
      <c r="C183" s="40">
        <f t="shared" si="4"/>
        <v>100</v>
      </c>
    </row>
    <row r="184" spans="1:4" x14ac:dyDescent="0.25">
      <c r="A184" s="41" t="s">
        <v>23</v>
      </c>
      <c r="B184" s="42">
        <v>46294</v>
      </c>
      <c r="C184" s="40">
        <f t="shared" si="4"/>
        <v>100</v>
      </c>
    </row>
    <row r="185" spans="1:4" x14ac:dyDescent="0.25">
      <c r="A185" s="41" t="s">
        <v>23</v>
      </c>
      <c r="B185" s="42">
        <v>46295</v>
      </c>
      <c r="C185" s="40">
        <f t="shared" si="4"/>
        <v>100</v>
      </c>
    </row>
    <row r="186" spans="1:4" x14ac:dyDescent="0.25">
      <c r="A186" s="41" t="s">
        <v>24</v>
      </c>
      <c r="B186" s="42">
        <v>46266</v>
      </c>
      <c r="C186" s="40">
        <f t="shared" si="4"/>
        <v>99.444444444444443</v>
      </c>
      <c r="D186" s="36">
        <v>8</v>
      </c>
    </row>
    <row r="187" spans="1:4" x14ac:dyDescent="0.25">
      <c r="A187" s="39" t="s">
        <v>24</v>
      </c>
      <c r="B187" s="42">
        <v>46267</v>
      </c>
      <c r="C187" s="40">
        <f t="shared" si="4"/>
        <v>100</v>
      </c>
    </row>
    <row r="188" spans="1:4" x14ac:dyDescent="0.25">
      <c r="A188" s="39" t="s">
        <v>24</v>
      </c>
      <c r="B188" s="42">
        <v>46268</v>
      </c>
      <c r="C188" s="40">
        <f t="shared" si="4"/>
        <v>100</v>
      </c>
    </row>
    <row r="189" spans="1:4" x14ac:dyDescent="0.25">
      <c r="A189" s="39" t="s">
        <v>24</v>
      </c>
      <c r="B189" s="42">
        <v>46269</v>
      </c>
      <c r="C189" s="40">
        <f t="shared" si="4"/>
        <v>100</v>
      </c>
    </row>
    <row r="190" spans="1:4" x14ac:dyDescent="0.25">
      <c r="A190" s="39" t="s">
        <v>24</v>
      </c>
      <c r="B190" s="42">
        <v>46270</v>
      </c>
      <c r="C190" s="40">
        <f t="shared" si="4"/>
        <v>100</v>
      </c>
    </row>
    <row r="191" spans="1:4" x14ac:dyDescent="0.25">
      <c r="A191" s="41" t="s">
        <v>24</v>
      </c>
      <c r="B191" s="42">
        <v>46271</v>
      </c>
      <c r="C191" s="40">
        <f t="shared" si="4"/>
        <v>100</v>
      </c>
    </row>
    <row r="192" spans="1:4" x14ac:dyDescent="0.25">
      <c r="A192" s="41" t="s">
        <v>24</v>
      </c>
      <c r="B192" s="42">
        <v>46272</v>
      </c>
      <c r="C192" s="40">
        <f t="shared" si="4"/>
        <v>100</v>
      </c>
    </row>
    <row r="193" spans="1:3" x14ac:dyDescent="0.25">
      <c r="A193" s="41" t="s">
        <v>24</v>
      </c>
      <c r="B193" s="42">
        <v>46273</v>
      </c>
      <c r="C193" s="40">
        <f t="shared" si="4"/>
        <v>100</v>
      </c>
    </row>
    <row r="194" spans="1:3" x14ac:dyDescent="0.25">
      <c r="A194" s="39" t="s">
        <v>24</v>
      </c>
      <c r="B194" s="42">
        <v>46274</v>
      </c>
      <c r="C194" s="40">
        <f t="shared" si="4"/>
        <v>100</v>
      </c>
    </row>
    <row r="195" spans="1:3" x14ac:dyDescent="0.25">
      <c r="A195" s="39" t="s">
        <v>24</v>
      </c>
      <c r="B195" s="42">
        <v>46275</v>
      </c>
      <c r="C195" s="40">
        <f t="shared" si="4"/>
        <v>100</v>
      </c>
    </row>
    <row r="196" spans="1:3" x14ac:dyDescent="0.25">
      <c r="A196" s="39" t="s">
        <v>24</v>
      </c>
      <c r="B196" s="42">
        <v>46276</v>
      </c>
      <c r="C196" s="40">
        <f t="shared" si="4"/>
        <v>100</v>
      </c>
    </row>
    <row r="197" spans="1:3" x14ac:dyDescent="0.25">
      <c r="A197" s="39" t="s">
        <v>24</v>
      </c>
      <c r="B197" s="42">
        <v>46277</v>
      </c>
      <c r="C197" s="40">
        <f t="shared" si="4"/>
        <v>100</v>
      </c>
    </row>
    <row r="198" spans="1:3" x14ac:dyDescent="0.25">
      <c r="A198" s="41" t="s">
        <v>24</v>
      </c>
      <c r="B198" s="42">
        <v>46278</v>
      </c>
      <c r="C198" s="40">
        <f t="shared" si="4"/>
        <v>100</v>
      </c>
    </row>
    <row r="199" spans="1:3" x14ac:dyDescent="0.25">
      <c r="A199" s="41" t="s">
        <v>24</v>
      </c>
      <c r="B199" s="42">
        <v>46279</v>
      </c>
      <c r="C199" s="40">
        <f t="shared" si="4"/>
        <v>100</v>
      </c>
    </row>
    <row r="200" spans="1:3" x14ac:dyDescent="0.25">
      <c r="A200" s="41" t="s">
        <v>24</v>
      </c>
      <c r="B200" s="42">
        <v>46280</v>
      </c>
      <c r="C200" s="40">
        <f t="shared" si="4"/>
        <v>100</v>
      </c>
    </row>
    <row r="201" spans="1:3" x14ac:dyDescent="0.25">
      <c r="A201" s="39" t="s">
        <v>24</v>
      </c>
      <c r="B201" s="42">
        <v>46281</v>
      </c>
      <c r="C201" s="40">
        <f t="shared" si="4"/>
        <v>100</v>
      </c>
    </row>
    <row r="202" spans="1:3" x14ac:dyDescent="0.25">
      <c r="A202" s="39" t="s">
        <v>24</v>
      </c>
      <c r="B202" s="42">
        <v>46282</v>
      </c>
      <c r="C202" s="40">
        <f t="shared" si="4"/>
        <v>100</v>
      </c>
    </row>
    <row r="203" spans="1:3" x14ac:dyDescent="0.25">
      <c r="A203" s="39" t="s">
        <v>24</v>
      </c>
      <c r="B203" s="42">
        <v>46283</v>
      </c>
      <c r="C203" s="40">
        <f t="shared" si="4"/>
        <v>100</v>
      </c>
    </row>
    <row r="204" spans="1:3" x14ac:dyDescent="0.25">
      <c r="A204" s="39" t="s">
        <v>24</v>
      </c>
      <c r="B204" s="42">
        <v>46284</v>
      </c>
      <c r="C204" s="40">
        <f t="shared" si="4"/>
        <v>100</v>
      </c>
    </row>
    <row r="205" spans="1:3" x14ac:dyDescent="0.25">
      <c r="A205" s="41" t="s">
        <v>24</v>
      </c>
      <c r="B205" s="42">
        <v>46285</v>
      </c>
      <c r="C205" s="40">
        <f t="shared" si="4"/>
        <v>100</v>
      </c>
    </row>
    <row r="206" spans="1:3" x14ac:dyDescent="0.25">
      <c r="A206" s="41" t="s">
        <v>24</v>
      </c>
      <c r="B206" s="42">
        <v>46286</v>
      </c>
      <c r="C206" s="40">
        <f t="shared" si="4"/>
        <v>100</v>
      </c>
    </row>
    <row r="207" spans="1:3" x14ac:dyDescent="0.25">
      <c r="A207" s="41" t="s">
        <v>24</v>
      </c>
      <c r="B207" s="42">
        <v>46287</v>
      </c>
      <c r="C207" s="40">
        <f t="shared" si="4"/>
        <v>100</v>
      </c>
    </row>
    <row r="208" spans="1:3" x14ac:dyDescent="0.25">
      <c r="A208" s="39" t="s">
        <v>24</v>
      </c>
      <c r="B208" s="42">
        <v>46288</v>
      </c>
      <c r="C208" s="40">
        <f t="shared" si="4"/>
        <v>100</v>
      </c>
    </row>
    <row r="209" spans="1:3" x14ac:dyDescent="0.25">
      <c r="A209" s="39" t="s">
        <v>24</v>
      </c>
      <c r="B209" s="42">
        <v>46289</v>
      </c>
      <c r="C209" s="40">
        <f t="shared" si="4"/>
        <v>100</v>
      </c>
    </row>
    <row r="210" spans="1:3" x14ac:dyDescent="0.25">
      <c r="A210" s="39" t="s">
        <v>24</v>
      </c>
      <c r="B210" s="42">
        <v>46290</v>
      </c>
      <c r="C210" s="40">
        <f t="shared" si="4"/>
        <v>100</v>
      </c>
    </row>
    <row r="211" spans="1:3" x14ac:dyDescent="0.25">
      <c r="A211" s="39" t="s">
        <v>24</v>
      </c>
      <c r="B211" s="42">
        <v>46291</v>
      </c>
      <c r="C211" s="40">
        <f t="shared" si="4"/>
        <v>100</v>
      </c>
    </row>
    <row r="212" spans="1:3" x14ac:dyDescent="0.25">
      <c r="A212" s="41" t="s">
        <v>24</v>
      </c>
      <c r="B212" s="42">
        <v>46292</v>
      </c>
      <c r="C212" s="40">
        <f t="shared" si="4"/>
        <v>100</v>
      </c>
    </row>
    <row r="213" spans="1:3" x14ac:dyDescent="0.25">
      <c r="A213" s="41" t="s">
        <v>24</v>
      </c>
      <c r="B213" s="42">
        <v>46293</v>
      </c>
      <c r="C213" s="40">
        <f t="shared" si="4"/>
        <v>100</v>
      </c>
    </row>
    <row r="214" spans="1:3" x14ac:dyDescent="0.25">
      <c r="A214" s="41" t="s">
        <v>24</v>
      </c>
      <c r="B214" s="42">
        <v>46294</v>
      </c>
      <c r="C214" s="40">
        <f t="shared" si="4"/>
        <v>100</v>
      </c>
    </row>
    <row r="215" spans="1:3" x14ac:dyDescent="0.25">
      <c r="A215" s="39" t="s">
        <v>24</v>
      </c>
      <c r="B215" s="42">
        <v>46295</v>
      </c>
      <c r="C215" s="40">
        <f t="shared" si="4"/>
        <v>100</v>
      </c>
    </row>
    <row r="216" spans="1:3" x14ac:dyDescent="0.25">
      <c r="A216" s="39" t="s">
        <v>52</v>
      </c>
      <c r="B216" s="42">
        <v>46266</v>
      </c>
      <c r="C216" s="40">
        <f t="shared" si="4"/>
        <v>100</v>
      </c>
    </row>
    <row r="217" spans="1:3" x14ac:dyDescent="0.25">
      <c r="A217" s="41" t="s">
        <v>52</v>
      </c>
      <c r="B217" s="42">
        <v>46267</v>
      </c>
      <c r="C217" s="40">
        <f t="shared" si="4"/>
        <v>100</v>
      </c>
    </row>
    <row r="218" spans="1:3" x14ac:dyDescent="0.25">
      <c r="A218" s="41" t="s">
        <v>52</v>
      </c>
      <c r="B218" s="42">
        <v>46268</v>
      </c>
      <c r="C218" s="40">
        <f t="shared" si="4"/>
        <v>100</v>
      </c>
    </row>
    <row r="219" spans="1:3" x14ac:dyDescent="0.25">
      <c r="A219" s="41" t="s">
        <v>52</v>
      </c>
      <c r="B219" s="42">
        <v>46269</v>
      </c>
      <c r="C219" s="40">
        <f t="shared" si="4"/>
        <v>100</v>
      </c>
    </row>
    <row r="220" spans="1:3" x14ac:dyDescent="0.25">
      <c r="A220" s="39" t="s">
        <v>52</v>
      </c>
      <c r="B220" s="42">
        <v>46270</v>
      </c>
      <c r="C220" s="40">
        <f t="shared" si="4"/>
        <v>100</v>
      </c>
    </row>
    <row r="221" spans="1:3" x14ac:dyDescent="0.25">
      <c r="A221" s="39" t="s">
        <v>52</v>
      </c>
      <c r="B221" s="42">
        <v>46271</v>
      </c>
      <c r="C221" s="40">
        <f t="shared" si="4"/>
        <v>100</v>
      </c>
    </row>
    <row r="222" spans="1:3" x14ac:dyDescent="0.25">
      <c r="A222" s="39" t="s">
        <v>52</v>
      </c>
      <c r="B222" s="42">
        <v>46272</v>
      </c>
      <c r="C222" s="40">
        <f t="shared" si="4"/>
        <v>100</v>
      </c>
    </row>
    <row r="223" spans="1:3" x14ac:dyDescent="0.25">
      <c r="A223" s="39" t="s">
        <v>52</v>
      </c>
      <c r="B223" s="42">
        <v>46273</v>
      </c>
      <c r="C223" s="40">
        <f t="shared" si="4"/>
        <v>100</v>
      </c>
    </row>
    <row r="224" spans="1:3" x14ac:dyDescent="0.25">
      <c r="A224" s="41" t="s">
        <v>52</v>
      </c>
      <c r="B224" s="42">
        <v>46274</v>
      </c>
      <c r="C224" s="40">
        <f t="shared" si="4"/>
        <v>100</v>
      </c>
    </row>
    <row r="225" spans="1:3" x14ac:dyDescent="0.25">
      <c r="A225" s="41" t="s">
        <v>52</v>
      </c>
      <c r="B225" s="42">
        <v>46275</v>
      </c>
      <c r="C225" s="40">
        <f t="shared" si="4"/>
        <v>100</v>
      </c>
    </row>
    <row r="226" spans="1:3" x14ac:dyDescent="0.25">
      <c r="A226" s="41" t="s">
        <v>52</v>
      </c>
      <c r="B226" s="42">
        <v>46276</v>
      </c>
      <c r="C226" s="40">
        <f t="shared" ref="C226:C245" si="5">IF(D226="",100,MAX(0,(1440-D226)/1440*100))</f>
        <v>100</v>
      </c>
    </row>
    <row r="227" spans="1:3" x14ac:dyDescent="0.25">
      <c r="A227" s="39" t="s">
        <v>52</v>
      </c>
      <c r="B227" s="42">
        <v>46277</v>
      </c>
      <c r="C227" s="40">
        <f t="shared" si="5"/>
        <v>100</v>
      </c>
    </row>
    <row r="228" spans="1:3" x14ac:dyDescent="0.25">
      <c r="A228" s="39" t="s">
        <v>52</v>
      </c>
      <c r="B228" s="42">
        <v>46278</v>
      </c>
      <c r="C228" s="40">
        <f t="shared" si="5"/>
        <v>100</v>
      </c>
    </row>
    <row r="229" spans="1:3" x14ac:dyDescent="0.25">
      <c r="A229" s="39" t="s">
        <v>52</v>
      </c>
      <c r="B229" s="42">
        <v>46279</v>
      </c>
      <c r="C229" s="40">
        <f t="shared" si="5"/>
        <v>100</v>
      </c>
    </row>
    <row r="230" spans="1:3" x14ac:dyDescent="0.25">
      <c r="A230" s="39" t="s">
        <v>52</v>
      </c>
      <c r="B230" s="42">
        <v>46280</v>
      </c>
      <c r="C230" s="40">
        <f t="shared" si="5"/>
        <v>100</v>
      </c>
    </row>
    <row r="231" spans="1:3" x14ac:dyDescent="0.25">
      <c r="A231" s="41" t="s">
        <v>52</v>
      </c>
      <c r="B231" s="42">
        <v>46281</v>
      </c>
      <c r="C231" s="40">
        <f t="shared" si="5"/>
        <v>100</v>
      </c>
    </row>
    <row r="232" spans="1:3" x14ac:dyDescent="0.25">
      <c r="A232" s="41" t="s">
        <v>52</v>
      </c>
      <c r="B232" s="42">
        <v>46282</v>
      </c>
      <c r="C232" s="40">
        <f t="shared" si="5"/>
        <v>100</v>
      </c>
    </row>
    <row r="233" spans="1:3" x14ac:dyDescent="0.25">
      <c r="A233" s="41" t="s">
        <v>52</v>
      </c>
      <c r="B233" s="42">
        <v>46283</v>
      </c>
      <c r="C233" s="40">
        <f t="shared" si="5"/>
        <v>100</v>
      </c>
    </row>
    <row r="234" spans="1:3" x14ac:dyDescent="0.25">
      <c r="A234" s="39" t="s">
        <v>52</v>
      </c>
      <c r="B234" s="42">
        <v>46284</v>
      </c>
      <c r="C234" s="40">
        <f t="shared" si="5"/>
        <v>100</v>
      </c>
    </row>
    <row r="235" spans="1:3" x14ac:dyDescent="0.25">
      <c r="A235" s="39" t="s">
        <v>52</v>
      </c>
      <c r="B235" s="42">
        <v>46285</v>
      </c>
      <c r="C235" s="40">
        <f t="shared" si="5"/>
        <v>100</v>
      </c>
    </row>
    <row r="236" spans="1:3" x14ac:dyDescent="0.25">
      <c r="A236" s="39" t="s">
        <v>52</v>
      </c>
      <c r="B236" s="42">
        <v>46286</v>
      </c>
      <c r="C236" s="40">
        <f t="shared" si="5"/>
        <v>100</v>
      </c>
    </row>
    <row r="237" spans="1:3" x14ac:dyDescent="0.25">
      <c r="A237" s="39" t="s">
        <v>52</v>
      </c>
      <c r="B237" s="42">
        <v>46287</v>
      </c>
      <c r="C237" s="40">
        <f t="shared" si="5"/>
        <v>100</v>
      </c>
    </row>
    <row r="238" spans="1:3" x14ac:dyDescent="0.25">
      <c r="A238" s="41" t="s">
        <v>52</v>
      </c>
      <c r="B238" s="42">
        <v>46288</v>
      </c>
      <c r="C238" s="40">
        <f t="shared" si="5"/>
        <v>100</v>
      </c>
    </row>
    <row r="239" spans="1:3" x14ac:dyDescent="0.25">
      <c r="A239" s="41" t="s">
        <v>52</v>
      </c>
      <c r="B239" s="42">
        <v>46289</v>
      </c>
      <c r="C239" s="40">
        <f t="shared" si="5"/>
        <v>100</v>
      </c>
    </row>
    <row r="240" spans="1:3" x14ac:dyDescent="0.25">
      <c r="A240" s="41" t="s">
        <v>52</v>
      </c>
      <c r="B240" s="42">
        <v>46290</v>
      </c>
      <c r="C240" s="40">
        <f t="shared" si="5"/>
        <v>100</v>
      </c>
    </row>
    <row r="241" spans="1:3" x14ac:dyDescent="0.25">
      <c r="A241" s="39" t="s">
        <v>52</v>
      </c>
      <c r="B241" s="42">
        <v>46291</v>
      </c>
      <c r="C241" s="40">
        <f t="shared" si="5"/>
        <v>100</v>
      </c>
    </row>
    <row r="242" spans="1:3" x14ac:dyDescent="0.25">
      <c r="A242" s="39" t="s">
        <v>52</v>
      </c>
      <c r="B242" s="42">
        <v>46292</v>
      </c>
      <c r="C242" s="40">
        <f t="shared" si="5"/>
        <v>100</v>
      </c>
    </row>
    <row r="243" spans="1:3" x14ac:dyDescent="0.25">
      <c r="A243" s="39" t="s">
        <v>52</v>
      </c>
      <c r="B243" s="42">
        <v>46293</v>
      </c>
      <c r="C243" s="40">
        <f t="shared" si="5"/>
        <v>100</v>
      </c>
    </row>
    <row r="244" spans="1:3" x14ac:dyDescent="0.25">
      <c r="A244" s="39" t="s">
        <v>52</v>
      </c>
      <c r="B244" s="42">
        <v>46294</v>
      </c>
      <c r="C244" s="40">
        <f t="shared" si="5"/>
        <v>100</v>
      </c>
    </row>
    <row r="245" spans="1:3" x14ac:dyDescent="0.25">
      <c r="A245" s="41" t="s">
        <v>52</v>
      </c>
      <c r="B245" s="42">
        <v>46295</v>
      </c>
      <c r="C245" s="40">
        <f t="shared" si="5"/>
        <v>100</v>
      </c>
    </row>
  </sheetData>
  <autoFilter ref="A1:E215" xr:uid="{722C57DA-B53F-4EF5-81D4-89FE6AB9FDC7}">
    <sortState xmlns:xlrd2="http://schemas.microsoft.com/office/spreadsheetml/2017/richdata2" ref="A2:E215">
      <sortCondition ref="B1"/>
    </sortState>
  </autoFilter>
  <dataValidations count="1">
    <dataValidation allowBlank="1" showInputMessage="1" showErrorMessage="1" sqref="A2:A245" xr:uid="{D87D8A40-72F0-47F9-B708-8FE8197B5EB9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549D-917A-4B3C-8CC4-0B2A08C0A73B}">
  <dimension ref="A1:L60"/>
  <sheetViews>
    <sheetView showGridLines="0" workbookViewId="0">
      <pane ySplit="3" topLeftCell="A4" activePane="bottomLeft" state="frozen"/>
      <selection pane="bottomLeft" activeCell="M9" sqref="M9"/>
    </sheetView>
  </sheetViews>
  <sheetFormatPr defaultRowHeight="13.8" x14ac:dyDescent="0.25"/>
  <cols>
    <col min="1" max="2" width="17.5" customWidth="1"/>
    <col min="3" max="6" width="13.59765625" customWidth="1"/>
    <col min="7" max="12" width="12.59765625" customWidth="1"/>
  </cols>
  <sheetData>
    <row r="1" spans="1:12" x14ac:dyDescent="0.25">
      <c r="A1" s="91" t="s">
        <v>84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x14ac:dyDescent="0.25">
      <c r="A3" s="92" t="str">
        <f ca="1">"ข้อมูล ณ "&amp;TEXT(Summary!C4,"d mmmm yyyy")&amp;" | ครอบคลุม 4 ระบบ, 16 สถานี และบันทึกรายวัน 124 รายการ"</f>
        <v>ข้อมูล ณ 10 September 2026 | ครอบคลุม 4 ระบบ, 16 สถานี และบันทึกรายวัน 124 รายการ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ht="14.4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25">
      <c r="A5" s="93" t="s">
        <v>85</v>
      </c>
      <c r="B5" s="93"/>
      <c r="C5" s="93"/>
      <c r="D5" s="96" t="s">
        <v>86</v>
      </c>
      <c r="E5" s="96"/>
      <c r="F5" s="96"/>
      <c r="G5" s="99" t="s">
        <v>87</v>
      </c>
      <c r="H5" s="99"/>
      <c r="I5" s="99"/>
      <c r="J5" s="102" t="s">
        <v>88</v>
      </c>
      <c r="K5" s="102"/>
      <c r="L5" s="102"/>
    </row>
    <row r="6" spans="1:12" x14ac:dyDescent="0.25">
      <c r="A6" s="94">
        <f>AVERAGE('Event Log'!C2:C125)</f>
        <v>99.987679211469526</v>
      </c>
      <c r="B6" s="95"/>
      <c r="C6" s="95"/>
      <c r="D6" s="97">
        <f>SUM('Event Log'!D2:D125)</f>
        <v>22</v>
      </c>
      <c r="E6" s="98"/>
      <c r="F6" s="98"/>
      <c r="G6" s="100">
        <f>COUNTIF('Event Log'!D2:D125,0)</f>
        <v>0</v>
      </c>
      <c r="H6" s="101"/>
      <c r="I6" s="101"/>
      <c r="J6" s="103">
        <f>Overview!Q21</f>
        <v>0</v>
      </c>
      <c r="K6" s="104"/>
      <c r="L6" s="104"/>
    </row>
    <row r="7" spans="1:12" x14ac:dyDescent="0.25">
      <c r="A7" s="95"/>
      <c r="B7" s="95"/>
      <c r="C7" s="95"/>
      <c r="D7" s="98"/>
      <c r="E7" s="98"/>
      <c r="F7" s="98"/>
      <c r="G7" s="101"/>
      <c r="H7" s="101"/>
      <c r="I7" s="101"/>
      <c r="J7" s="104"/>
      <c r="K7" s="104"/>
      <c r="L7" s="104"/>
    </row>
    <row r="8" spans="1:12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x14ac:dyDescent="0.25">
      <c r="A9" s="105" t="str">
        <f>IF(Overview!Q21&gt;0,"ประเด็นสำคัญ: บริการทั้ง 4 ระบบรายงานสถานะปกติ แต่มี "&amp;Overview!Q21&amp;" สถานีที่ต้องติดตาม โดยทั้งหมดถูกทำเครื่องหมาย VSWR &gt; 1.5","ไม่พบรายการติดตามสถานี")</f>
        <v>ไม่พบรายการติดตามสถานี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</row>
    <row r="10" spans="1:12" x14ac:dyDescent="0.25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x14ac:dyDescent="0.25">
      <c r="A12" s="106" t="s">
        <v>89</v>
      </c>
      <c r="B12" s="106"/>
      <c r="C12" s="106"/>
      <c r="D12" s="106"/>
      <c r="E12" s="106"/>
      <c r="F12" s="106"/>
      <c r="G12" s="106" t="s">
        <v>90</v>
      </c>
      <c r="H12" s="106"/>
      <c r="I12" s="106"/>
      <c r="J12" s="106"/>
      <c r="K12" s="106"/>
      <c r="L12" s="106"/>
    </row>
    <row r="13" spans="1:12" ht="14.4" x14ac:dyDescent="0.3">
      <c r="A13" s="45" t="s">
        <v>91</v>
      </c>
      <c r="B13" s="45" t="s">
        <v>92</v>
      </c>
      <c r="C13" s="45" t="s">
        <v>93</v>
      </c>
      <c r="D13" s="45" t="s">
        <v>94</v>
      </c>
      <c r="E13" s="45" t="s">
        <v>95</v>
      </c>
      <c r="F13" s="45" t="s">
        <v>96</v>
      </c>
      <c r="G13" s="90" t="str">
        <f>"1) ข้อมูลเป็นแบบจำลอง: Downtime ใน Event Log ใช้ RANDBETWEEN(0,5) จึงเปลี่ยนทุกครั้งที่ Excel คำนวณใหม่"</f>
        <v>1) ข้อมูลเป็นแบบจำลอง: Downtime ใน Event Log ใช้ RANDBETWEEN(0,5) จึงเปลี่ยนทุกครั้งที่ Excel คำนวณใหม่</v>
      </c>
      <c r="H13" s="90"/>
      <c r="I13" s="90"/>
      <c r="J13" s="90"/>
      <c r="K13" s="90"/>
      <c r="L13" s="90"/>
    </row>
    <row r="14" spans="1:12" ht="14.4" x14ac:dyDescent="0.3">
      <c r="A14" s="46" t="s">
        <v>42</v>
      </c>
      <c r="B14" s="48">
        <f>AVERAGEIF('Event Log'!$A$2:$A$125,A14,'Event Log'!$C$2:$C$125)</f>
        <v>99.984318996415766</v>
      </c>
      <c r="C14" s="49">
        <f>SUMIF('Event Log'!$A$2:$A$125,A14,'Event Log'!$D$2:$D$125)</f>
        <v>7</v>
      </c>
      <c r="D14" s="49">
        <f>COUNTIFS('Event Log'!$A$2:$A$125,A14,'Event Log'!$D$2:$D$125,0)</f>
        <v>0</v>
      </c>
      <c r="E14" s="49">
        <f>COUNTIFS('Event Log'!$A$2:$A$125,A14,'Event Log'!$C$2:$C$125,"&lt;99.8")</f>
        <v>2</v>
      </c>
      <c r="F14" s="49">
        <f>_xlfn.MAXIFS('Event Log'!$D$2:$D$125,'Event Log'!$A$2:$A$125,A14)</f>
        <v>4</v>
      </c>
      <c r="G14" s="90" t="str">
        <f>"2) Online เฉลี่ยสูงสุดขณะนี้: "&amp;INDEX($A$14:$A$17,MATCH(MAX($B$14:$B$17),$B$14:$B$17,0))&amp;" ("&amp;TEXT(MAX($B$14:$B$17),"0.00\%")&amp;")"</f>
        <v>2) Online เฉลี่ยสูงสุดขณะนี้: SD-WAN (100.00%)</v>
      </c>
      <c r="H14" s="90"/>
      <c r="I14" s="90"/>
      <c r="J14" s="90"/>
      <c r="K14" s="90"/>
      <c r="L14" s="90"/>
    </row>
    <row r="15" spans="1:12" ht="14.4" x14ac:dyDescent="0.3">
      <c r="A15" s="46" t="s">
        <v>23</v>
      </c>
      <c r="B15" s="48">
        <f>AVERAGEIF('Event Log'!$A$2:$A$125,A15,'Event Log'!$C$2:$C$125)</f>
        <v>100</v>
      </c>
      <c r="C15" s="49">
        <f>SUMIF('Event Log'!$A$2:$A$125,A15,'Event Log'!$D$2:$D$125)</f>
        <v>0</v>
      </c>
      <c r="D15" s="49">
        <f>COUNTIFS('Event Log'!$A$2:$A$125,A15,'Event Log'!$D$2:$D$125,0)</f>
        <v>0</v>
      </c>
      <c r="E15" s="49">
        <f>COUNTIFS('Event Log'!$A$2:$A$125,A15,'Event Log'!$C$2:$C$125,"&lt;99.8")</f>
        <v>0</v>
      </c>
      <c r="F15" s="49">
        <f>_xlfn.MAXIFS('Event Log'!$D$2:$D$125,'Event Log'!$A$2:$A$125,A15)</f>
        <v>0</v>
      </c>
      <c r="G15" s="90" t="str">
        <f>"3) Downtime สะสมสูงสุดขณะนี้: "&amp;INDEX($A$14:$A$17,MATCH(MAX($C$14:$C$17),$C$14:$C$17,0))&amp;" ("&amp;MAX($C$14:$C$17)&amp;" นาที)"</f>
        <v>3) Downtime สะสมสูงสุดขณะนี้: Dispatcher (10 นาที)</v>
      </c>
      <c r="H15" s="90"/>
      <c r="I15" s="90"/>
      <c r="J15" s="90"/>
      <c r="K15" s="90"/>
      <c r="L15" s="90"/>
    </row>
    <row r="16" spans="1:12" ht="14.4" x14ac:dyDescent="0.3">
      <c r="A16" s="46" t="s">
        <v>24</v>
      </c>
      <c r="B16" s="48">
        <f>AVERAGEIF('Event Log'!$A$2:$A$125,A16,'Event Log'!$C$2:$C$125)</f>
        <v>99.988799283154123</v>
      </c>
      <c r="C16" s="49">
        <f>SUMIF('Event Log'!$A$2:$A$125,A16,'Event Log'!$D$2:$D$125)</f>
        <v>5</v>
      </c>
      <c r="D16" s="49">
        <f>COUNTIFS('Event Log'!$A$2:$A$125,A16,'Event Log'!$D$2:$D$125,0)</f>
        <v>0</v>
      </c>
      <c r="E16" s="49">
        <f>COUNTIFS('Event Log'!$A$2:$A$125,A16,'Event Log'!$C$2:$C$125,"&lt;99.8")</f>
        <v>1</v>
      </c>
      <c r="F16" s="49">
        <f>_xlfn.MAXIFS('Event Log'!$D$2:$D$125,'Event Log'!$A$2:$A$125,A16)</f>
        <v>5</v>
      </c>
      <c r="G16" s="90" t="str">
        <f>"4) สถานี "&amp;Overview!Q21&amp;"/"&amp;COUNTA(Overview!A5:A20)&amp;" แห่งถูกทำเครื่องหมาย VSWR &gt; 1.5; ควรตรวจสายอากาศ/ฟีดเดอร์หรือเกณฑ์การบันทึก"</f>
        <v>4) สถานี 0/16 แห่งถูกทำเครื่องหมาย VSWR &gt; 1.5; ควรตรวจสายอากาศ/ฟีดเดอร์หรือเกณฑ์การบันทึก</v>
      </c>
      <c r="H16" s="90"/>
      <c r="I16" s="90"/>
      <c r="J16" s="90"/>
      <c r="K16" s="90"/>
      <c r="L16" s="90"/>
    </row>
    <row r="17" spans="1:12" ht="14.4" x14ac:dyDescent="0.3">
      <c r="A17" s="46" t="s">
        <v>52</v>
      </c>
      <c r="B17" s="48">
        <f>AVERAGEIF('Event Log'!$A$2:$A$125,A17,'Event Log'!$C$2:$C$125)</f>
        <v>99.977598566308245</v>
      </c>
      <c r="C17" s="49">
        <f>SUMIF('Event Log'!$A$2:$A$125,A17,'Event Log'!$D$2:$D$125)</f>
        <v>10</v>
      </c>
      <c r="D17" s="49">
        <f>COUNTIFS('Event Log'!$A$2:$A$125,A17,'Event Log'!$D$2:$D$125,0)</f>
        <v>0</v>
      </c>
      <c r="E17" s="49">
        <f>COUNTIFS('Event Log'!$A$2:$A$125,A17,'Event Log'!$C$2:$C$125,"&lt;99.8")</f>
        <v>1</v>
      </c>
      <c r="F17" s="49">
        <f>_xlfn.MAXIFS('Event Log'!$D$2:$D$125,'Event Log'!$A$2:$A$125,A17)</f>
        <v>10</v>
      </c>
      <c r="G17" s="90" t="str">
        <f>"5) แม้สถานะบริการเป็น 'ปกติ' แต่มีรายการรอแก้ไข ควรยืนยันความสอดคล้องก่อนแจ้งผู้รับบริการ"</f>
        <v>5) แม้สถานะบริการเป็น 'ปกติ' แต่มีรายการรอแก้ไข ควรยืนยันความสอดคล้องก่อนแจ้งผู้รับบริการ</v>
      </c>
      <c r="H17" s="90"/>
      <c r="I17" s="90"/>
      <c r="J17" s="90"/>
      <c r="K17" s="90"/>
      <c r="L17" s="90"/>
    </row>
    <row r="18" spans="1:12" ht="14.4" x14ac:dyDescent="0.3">
      <c r="A18" s="47" t="s">
        <v>97</v>
      </c>
      <c r="B18" s="50">
        <f>AVERAGE('Event Log'!C2:C125)</f>
        <v>99.987679211469526</v>
      </c>
      <c r="C18" s="51">
        <f>SUM('Event Log'!D2:D125)</f>
        <v>22</v>
      </c>
      <c r="D18" s="51">
        <f>COUNTIF('Event Log'!D2:D125,0)</f>
        <v>0</v>
      </c>
      <c r="E18" s="51">
        <f>COUNTIF('Event Log'!C2:C125,"&lt;99.8")</f>
        <v>4</v>
      </c>
      <c r="F18" s="51">
        <f>MAX('Event Log'!D2:D125)</f>
        <v>10</v>
      </c>
      <c r="G18" s="43"/>
      <c r="H18" s="43"/>
      <c r="I18" s="43"/>
      <c r="J18" s="43"/>
      <c r="K18" s="43"/>
      <c r="L18" s="43"/>
    </row>
    <row r="19" spans="1:12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4.4" x14ac:dyDescent="0.3">
      <c r="A21" s="106" t="s">
        <v>98</v>
      </c>
      <c r="B21" s="106"/>
      <c r="C21" s="106"/>
      <c r="D21" s="106"/>
      <c r="E21" s="106"/>
      <c r="F21" s="106"/>
      <c r="G21" s="43"/>
      <c r="H21" s="43"/>
      <c r="I21" s="43"/>
      <c r="J21" s="43"/>
      <c r="K21" s="43"/>
      <c r="L21" s="43"/>
    </row>
    <row r="22" spans="1:12" ht="14.4" x14ac:dyDescent="0.3">
      <c r="A22" s="44" t="s">
        <v>99</v>
      </c>
      <c r="B22" s="44" t="s">
        <v>100</v>
      </c>
      <c r="C22" s="44" t="s">
        <v>101</v>
      </c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14.4" x14ac:dyDescent="0.3">
      <c r="A23" s="52" t="s">
        <v>35</v>
      </c>
      <c r="B23" s="52">
        <f>COUNTIF(Overview!D5:D20,TRUE)</f>
        <v>0</v>
      </c>
      <c r="C23" s="53">
        <f>B23/COUNTA(Overview!A5:A20)</f>
        <v>0</v>
      </c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4.4" x14ac:dyDescent="0.3">
      <c r="A24" s="52" t="s">
        <v>102</v>
      </c>
      <c r="B24" s="52" cm="1">
        <f t="array" ref="B24">SUMPRODUCT(--(Overview!C5:C20=TRUE))+SUMPRODUCT(--(Overview!E5:P20=TRUE))</f>
        <v>0</v>
      </c>
      <c r="C24" s="53">
        <f>B24/COUNTA(Overview!A5:A20)</f>
        <v>0</v>
      </c>
      <c r="D24" s="43"/>
      <c r="E24" s="43"/>
      <c r="F24" s="43"/>
      <c r="G24" s="43"/>
      <c r="H24" s="43"/>
      <c r="I24" s="43"/>
      <c r="J24" s="43"/>
      <c r="K24" s="43"/>
      <c r="L24" s="43"/>
    </row>
    <row r="25" spans="1:12" ht="14.4" x14ac:dyDescent="0.3">
      <c r="A25" s="107" t="s">
        <v>103</v>
      </c>
      <c r="B25" s="107"/>
      <c r="C25" s="107"/>
      <c r="D25" s="107"/>
      <c r="E25" s="107"/>
      <c r="F25" s="107"/>
      <c r="G25" s="43"/>
      <c r="H25" s="43"/>
      <c r="I25" s="43"/>
      <c r="J25" s="43"/>
      <c r="K25" s="43"/>
      <c r="L25" s="43"/>
    </row>
    <row r="26" spans="1:12" ht="14.4" x14ac:dyDescent="0.3">
      <c r="A26" s="107"/>
      <c r="B26" s="107"/>
      <c r="C26" s="107"/>
      <c r="D26" s="107"/>
      <c r="E26" s="107"/>
      <c r="F26" s="107"/>
      <c r="G26" s="43"/>
      <c r="H26" s="43"/>
      <c r="I26" s="43"/>
      <c r="J26" s="43"/>
      <c r="K26" s="43"/>
      <c r="L26" s="43"/>
    </row>
    <row r="27" spans="1:12" ht="14.4" x14ac:dyDescent="0.3">
      <c r="A27" s="106" t="s">
        <v>104</v>
      </c>
      <c r="B27" s="106"/>
      <c r="C27" s="106"/>
      <c r="D27" s="106"/>
      <c r="E27" s="106"/>
      <c r="F27" s="43"/>
      <c r="G27" s="43"/>
      <c r="H27" s="43"/>
      <c r="I27" s="43"/>
      <c r="J27" s="43"/>
      <c r="K27" s="43"/>
      <c r="L27" s="43"/>
    </row>
    <row r="28" spans="1:12" ht="14.4" x14ac:dyDescent="0.3">
      <c r="A28" s="54" t="s">
        <v>2</v>
      </c>
      <c r="B28" s="59" t="s">
        <v>42</v>
      </c>
      <c r="C28" s="59" t="s">
        <v>23</v>
      </c>
      <c r="D28" s="59" t="s">
        <v>24</v>
      </c>
      <c r="E28" s="59" t="s">
        <v>52</v>
      </c>
      <c r="F28" s="43"/>
      <c r="G28" s="43"/>
      <c r="H28" s="43"/>
      <c r="I28" s="43"/>
      <c r="J28" s="43"/>
      <c r="K28" s="43"/>
      <c r="L28" s="43"/>
    </row>
    <row r="29" spans="1:12" ht="14.4" x14ac:dyDescent="0.3">
      <c r="A29" s="55">
        <f>'Event Log'!B2</f>
        <v>46235</v>
      </c>
      <c r="B29" s="56">
        <f>'Event Log'!C2</f>
        <v>100</v>
      </c>
      <c r="C29" s="56">
        <f>'Event Log'!C33</f>
        <v>100</v>
      </c>
      <c r="D29" s="56">
        <f>'Event Log'!C64</f>
        <v>100</v>
      </c>
      <c r="E29" s="56">
        <f>'Event Log'!C95</f>
        <v>100</v>
      </c>
      <c r="F29" s="43"/>
      <c r="G29" s="43"/>
      <c r="H29" s="43"/>
      <c r="I29" s="43"/>
      <c r="J29" s="43"/>
      <c r="K29" s="43"/>
      <c r="L29" s="43"/>
    </row>
    <row r="30" spans="1:12" ht="14.4" x14ac:dyDescent="0.3">
      <c r="A30" s="55">
        <f>'Event Log'!B3</f>
        <v>46236</v>
      </c>
      <c r="B30" s="56">
        <f>'Event Log'!C3</f>
        <v>100</v>
      </c>
      <c r="C30" s="56">
        <f>'Event Log'!C34</f>
        <v>100</v>
      </c>
      <c r="D30" s="56">
        <f>'Event Log'!C65</f>
        <v>100</v>
      </c>
      <c r="E30" s="56">
        <f>'Event Log'!C96</f>
        <v>100</v>
      </c>
      <c r="F30" s="43"/>
      <c r="G30" s="43"/>
      <c r="H30" s="43"/>
      <c r="I30" s="43"/>
      <c r="J30" s="43"/>
      <c r="K30" s="43"/>
      <c r="L30" s="43"/>
    </row>
    <row r="31" spans="1:12" ht="14.4" x14ac:dyDescent="0.3">
      <c r="A31" s="55">
        <f>'Event Log'!B4</f>
        <v>46237</v>
      </c>
      <c r="B31" s="56">
        <f>'Event Log'!C4</f>
        <v>100</v>
      </c>
      <c r="C31" s="56">
        <f>'Event Log'!C35</f>
        <v>100</v>
      </c>
      <c r="D31" s="56">
        <f>'Event Log'!C66</f>
        <v>100</v>
      </c>
      <c r="E31" s="56">
        <f>'Event Log'!C97</f>
        <v>99.305555555555557</v>
      </c>
      <c r="F31" s="43"/>
      <c r="G31" s="43"/>
      <c r="H31" s="43"/>
      <c r="I31" s="43"/>
      <c r="J31" s="43"/>
      <c r="K31" s="43"/>
      <c r="L31" s="43"/>
    </row>
    <row r="32" spans="1:12" ht="14.4" x14ac:dyDescent="0.3">
      <c r="A32" s="55">
        <f>'Event Log'!B5</f>
        <v>46238</v>
      </c>
      <c r="B32" s="56">
        <f>'Event Log'!C5</f>
        <v>100</v>
      </c>
      <c r="C32" s="56">
        <f>'Event Log'!C36</f>
        <v>100</v>
      </c>
      <c r="D32" s="56">
        <f>'Event Log'!C67</f>
        <v>99.652777777777786</v>
      </c>
      <c r="E32" s="56">
        <f>'Event Log'!C98</f>
        <v>100</v>
      </c>
      <c r="F32" s="43"/>
      <c r="G32" s="43"/>
      <c r="H32" s="43"/>
      <c r="I32" s="43"/>
      <c r="J32" s="43"/>
      <c r="K32" s="43"/>
      <c r="L32" s="43"/>
    </row>
    <row r="33" spans="1:12" ht="14.4" x14ac:dyDescent="0.3">
      <c r="A33" s="55">
        <f>'Event Log'!B6</f>
        <v>46239</v>
      </c>
      <c r="B33" s="56">
        <f>'Event Log'!C6</f>
        <v>100</v>
      </c>
      <c r="C33" s="56">
        <f>'Event Log'!C37</f>
        <v>100</v>
      </c>
      <c r="D33" s="56">
        <f>'Event Log'!C68</f>
        <v>100</v>
      </c>
      <c r="E33" s="56">
        <f>'Event Log'!C99</f>
        <v>100</v>
      </c>
      <c r="F33" s="43"/>
      <c r="G33" s="43"/>
      <c r="H33" s="43"/>
      <c r="I33" s="43"/>
      <c r="J33" s="43"/>
      <c r="K33" s="43"/>
      <c r="L33" s="43"/>
    </row>
    <row r="34" spans="1:12" ht="14.4" x14ac:dyDescent="0.3">
      <c r="A34" s="55">
        <f>'Event Log'!B7</f>
        <v>46240</v>
      </c>
      <c r="B34" s="56">
        <f>'Event Log'!C7</f>
        <v>100</v>
      </c>
      <c r="C34" s="56">
        <f>'Event Log'!C38</f>
        <v>100</v>
      </c>
      <c r="D34" s="56">
        <f>'Event Log'!C69</f>
        <v>100</v>
      </c>
      <c r="E34" s="56">
        <f>'Event Log'!C100</f>
        <v>100</v>
      </c>
      <c r="F34" s="43"/>
      <c r="G34" s="43"/>
      <c r="H34" s="43"/>
      <c r="I34" s="43"/>
      <c r="J34" s="43"/>
      <c r="K34" s="43"/>
      <c r="L34" s="43"/>
    </row>
    <row r="35" spans="1:12" ht="14.4" x14ac:dyDescent="0.3">
      <c r="A35" s="55">
        <f>'Event Log'!B8</f>
        <v>46241</v>
      </c>
      <c r="B35" s="56">
        <f>'Event Log'!C8</f>
        <v>99.791666666666671</v>
      </c>
      <c r="C35" s="56">
        <f>'Event Log'!C39</f>
        <v>100</v>
      </c>
      <c r="D35" s="56">
        <f>'Event Log'!C70</f>
        <v>100</v>
      </c>
      <c r="E35" s="56">
        <f>'Event Log'!C101</f>
        <v>100</v>
      </c>
      <c r="F35" s="43"/>
      <c r="G35" s="43"/>
      <c r="H35" s="43"/>
      <c r="I35" s="43"/>
      <c r="J35" s="43"/>
      <c r="K35" s="43"/>
      <c r="L35" s="43"/>
    </row>
    <row r="36" spans="1:12" ht="14.4" x14ac:dyDescent="0.3">
      <c r="A36" s="55">
        <f>'Event Log'!B9</f>
        <v>46242</v>
      </c>
      <c r="B36" s="56">
        <f>'Event Log'!C9</f>
        <v>100</v>
      </c>
      <c r="C36" s="56">
        <f>'Event Log'!C40</f>
        <v>100</v>
      </c>
      <c r="D36" s="56">
        <f>'Event Log'!C71</f>
        <v>100</v>
      </c>
      <c r="E36" s="56">
        <f>'Event Log'!C102</f>
        <v>100</v>
      </c>
      <c r="F36" s="43"/>
      <c r="G36" s="43"/>
      <c r="H36" s="43"/>
      <c r="I36" s="43"/>
      <c r="J36" s="43"/>
      <c r="K36" s="43"/>
      <c r="L36" s="43"/>
    </row>
    <row r="37" spans="1:12" ht="14.4" x14ac:dyDescent="0.3">
      <c r="A37" s="55">
        <f>'Event Log'!B10</f>
        <v>46243</v>
      </c>
      <c r="B37" s="56">
        <f>'Event Log'!C10</f>
        <v>100</v>
      </c>
      <c r="C37" s="56">
        <f>'Event Log'!C41</f>
        <v>100</v>
      </c>
      <c r="D37" s="56">
        <f>'Event Log'!C72</f>
        <v>100</v>
      </c>
      <c r="E37" s="56">
        <f>'Event Log'!C103</f>
        <v>100</v>
      </c>
      <c r="F37" s="43"/>
      <c r="G37" s="43"/>
      <c r="H37" s="43"/>
      <c r="I37" s="43"/>
      <c r="J37" s="43"/>
      <c r="K37" s="43"/>
      <c r="L37" s="43"/>
    </row>
    <row r="38" spans="1:12" ht="14.4" x14ac:dyDescent="0.3">
      <c r="A38" s="55">
        <f>'Event Log'!B11</f>
        <v>46244</v>
      </c>
      <c r="B38" s="56">
        <f>'Event Log'!C11</f>
        <v>100</v>
      </c>
      <c r="C38" s="56">
        <f>'Event Log'!C42</f>
        <v>100</v>
      </c>
      <c r="D38" s="56">
        <f>'Event Log'!C73</f>
        <v>100</v>
      </c>
      <c r="E38" s="56">
        <f>'Event Log'!C104</f>
        <v>100</v>
      </c>
      <c r="F38" s="43"/>
      <c r="G38" s="43"/>
      <c r="H38" s="43"/>
      <c r="I38" s="43"/>
      <c r="J38" s="43"/>
      <c r="K38" s="43"/>
      <c r="L38" s="43"/>
    </row>
    <row r="39" spans="1:12" ht="14.4" x14ac:dyDescent="0.3">
      <c r="A39" s="55">
        <f>'Event Log'!B12</f>
        <v>46245</v>
      </c>
      <c r="B39" s="56">
        <f>'Event Log'!C12</f>
        <v>100</v>
      </c>
      <c r="C39" s="56">
        <f>'Event Log'!C43</f>
        <v>100</v>
      </c>
      <c r="D39" s="56">
        <f>'Event Log'!C74</f>
        <v>100</v>
      </c>
      <c r="E39" s="56">
        <f>'Event Log'!C105</f>
        <v>100</v>
      </c>
      <c r="F39" s="43"/>
      <c r="G39" s="43"/>
      <c r="H39" s="43"/>
      <c r="I39" s="43"/>
      <c r="J39" s="43"/>
      <c r="K39" s="43"/>
      <c r="L39" s="43"/>
    </row>
    <row r="40" spans="1:12" ht="14.4" x14ac:dyDescent="0.3">
      <c r="A40" s="55">
        <f>'Event Log'!B13</f>
        <v>46246</v>
      </c>
      <c r="B40" s="56">
        <f>'Event Log'!C13</f>
        <v>100</v>
      </c>
      <c r="C40" s="56">
        <f>'Event Log'!C44</f>
        <v>100</v>
      </c>
      <c r="D40" s="56">
        <f>'Event Log'!C75</f>
        <v>100</v>
      </c>
      <c r="E40" s="56">
        <f>'Event Log'!C106</f>
        <v>100</v>
      </c>
      <c r="F40" s="43"/>
      <c r="G40" s="43"/>
      <c r="H40" s="43"/>
      <c r="I40" s="43"/>
      <c r="J40" s="43"/>
      <c r="K40" s="43"/>
      <c r="L40" s="43"/>
    </row>
    <row r="41" spans="1:12" ht="14.4" x14ac:dyDescent="0.3">
      <c r="A41" s="55">
        <f>'Event Log'!B14</f>
        <v>46247</v>
      </c>
      <c r="B41" s="56">
        <f>'Event Log'!C14</f>
        <v>100</v>
      </c>
      <c r="C41" s="56">
        <f>'Event Log'!C45</f>
        <v>100</v>
      </c>
      <c r="D41" s="56">
        <f>'Event Log'!C76</f>
        <v>100</v>
      </c>
      <c r="E41" s="56">
        <f>'Event Log'!C107</f>
        <v>100</v>
      </c>
      <c r="F41" s="43"/>
      <c r="G41" s="43"/>
      <c r="H41" s="43"/>
      <c r="I41" s="43"/>
      <c r="J41" s="43"/>
      <c r="K41" s="43"/>
      <c r="L41" s="43"/>
    </row>
    <row r="42" spans="1:12" ht="14.4" x14ac:dyDescent="0.3">
      <c r="A42" s="55">
        <f>'Event Log'!B15</f>
        <v>46248</v>
      </c>
      <c r="B42" s="56">
        <f>'Event Log'!C15</f>
        <v>100</v>
      </c>
      <c r="C42" s="56">
        <f>'Event Log'!C46</f>
        <v>100</v>
      </c>
      <c r="D42" s="56">
        <f>'Event Log'!C77</f>
        <v>100</v>
      </c>
      <c r="E42" s="56">
        <f>'Event Log'!C108</f>
        <v>100</v>
      </c>
      <c r="F42" s="43"/>
      <c r="G42" s="43"/>
      <c r="H42" s="43"/>
      <c r="I42" s="43"/>
      <c r="J42" s="43"/>
      <c r="K42" s="43"/>
      <c r="L42" s="43"/>
    </row>
    <row r="43" spans="1:12" ht="14.4" x14ac:dyDescent="0.3">
      <c r="A43" s="55">
        <f>'Event Log'!B16</f>
        <v>46249</v>
      </c>
      <c r="B43" s="56">
        <f>'Event Log'!C16</f>
        <v>100</v>
      </c>
      <c r="C43" s="56">
        <f>'Event Log'!C47</f>
        <v>100</v>
      </c>
      <c r="D43" s="56">
        <f>'Event Log'!C78</f>
        <v>100</v>
      </c>
      <c r="E43" s="56">
        <f>'Event Log'!C109</f>
        <v>100</v>
      </c>
      <c r="F43" s="43"/>
      <c r="G43" s="43"/>
      <c r="H43" s="43"/>
      <c r="I43" s="43"/>
      <c r="J43" s="43"/>
      <c r="K43" s="43"/>
      <c r="L43" s="43"/>
    </row>
    <row r="44" spans="1:12" ht="14.4" x14ac:dyDescent="0.3">
      <c r="A44" s="55">
        <f>'Event Log'!B17</f>
        <v>46250</v>
      </c>
      <c r="B44" s="56">
        <f>'Event Log'!C17</f>
        <v>100</v>
      </c>
      <c r="C44" s="56">
        <f>'Event Log'!C48</f>
        <v>100</v>
      </c>
      <c r="D44" s="56">
        <f>'Event Log'!C79</f>
        <v>100</v>
      </c>
      <c r="E44" s="56">
        <f>'Event Log'!C110</f>
        <v>100</v>
      </c>
      <c r="F44" s="43"/>
      <c r="G44" s="43"/>
      <c r="H44" s="43"/>
      <c r="I44" s="43"/>
      <c r="J44" s="43"/>
      <c r="K44" s="43"/>
      <c r="L44" s="43"/>
    </row>
    <row r="45" spans="1:12" ht="14.4" x14ac:dyDescent="0.3">
      <c r="A45" s="55">
        <f>'Event Log'!B18</f>
        <v>46251</v>
      </c>
      <c r="B45" s="56">
        <f>'Event Log'!C18</f>
        <v>100</v>
      </c>
      <c r="C45" s="56">
        <f>'Event Log'!C49</f>
        <v>100</v>
      </c>
      <c r="D45" s="56">
        <f>'Event Log'!C80</f>
        <v>100</v>
      </c>
      <c r="E45" s="56">
        <f>'Event Log'!C111</f>
        <v>100</v>
      </c>
      <c r="F45" s="43"/>
      <c r="G45" s="43"/>
      <c r="H45" s="43"/>
      <c r="I45" s="43"/>
      <c r="J45" s="43"/>
      <c r="K45" s="43"/>
      <c r="L45" s="43"/>
    </row>
    <row r="46" spans="1:12" ht="14.4" x14ac:dyDescent="0.3">
      <c r="A46" s="55">
        <f>'Event Log'!B19</f>
        <v>46252</v>
      </c>
      <c r="B46" s="56">
        <f>'Event Log'!C19</f>
        <v>100</v>
      </c>
      <c r="C46" s="56">
        <f>'Event Log'!C50</f>
        <v>100</v>
      </c>
      <c r="D46" s="56">
        <f>'Event Log'!C81</f>
        <v>100</v>
      </c>
      <c r="E46" s="56">
        <f>'Event Log'!C112</f>
        <v>100</v>
      </c>
      <c r="F46" s="43"/>
      <c r="G46" s="43"/>
      <c r="H46" s="43"/>
      <c r="I46" s="43"/>
      <c r="J46" s="43"/>
      <c r="K46" s="43"/>
      <c r="L46" s="43"/>
    </row>
    <row r="47" spans="1:12" ht="14.4" x14ac:dyDescent="0.3">
      <c r="A47" s="55">
        <f>'Event Log'!B20</f>
        <v>46253</v>
      </c>
      <c r="B47" s="56">
        <f>'Event Log'!C20</f>
        <v>100</v>
      </c>
      <c r="C47" s="56">
        <f>'Event Log'!C51</f>
        <v>100</v>
      </c>
      <c r="D47" s="56">
        <f>'Event Log'!C82</f>
        <v>100</v>
      </c>
      <c r="E47" s="56">
        <f>'Event Log'!C113</f>
        <v>100</v>
      </c>
      <c r="F47" s="43"/>
      <c r="G47" s="43"/>
      <c r="H47" s="43"/>
      <c r="I47" s="43"/>
      <c r="J47" s="43"/>
      <c r="K47" s="43"/>
      <c r="L47" s="43"/>
    </row>
    <row r="48" spans="1:12" ht="14.4" x14ac:dyDescent="0.3">
      <c r="A48" s="55">
        <f>'Event Log'!B21</f>
        <v>46254</v>
      </c>
      <c r="B48" s="56">
        <f>'Event Log'!C21</f>
        <v>100</v>
      </c>
      <c r="C48" s="56">
        <f>'Event Log'!C52</f>
        <v>100</v>
      </c>
      <c r="D48" s="56">
        <f>'Event Log'!C83</f>
        <v>100</v>
      </c>
      <c r="E48" s="56">
        <f>'Event Log'!C114</f>
        <v>100</v>
      </c>
      <c r="F48" s="43"/>
      <c r="G48" s="43"/>
      <c r="H48" s="43"/>
      <c r="I48" s="43"/>
      <c r="J48" s="43"/>
      <c r="K48" s="43"/>
      <c r="L48" s="43"/>
    </row>
    <row r="49" spans="1:12" ht="14.4" x14ac:dyDescent="0.3">
      <c r="A49" s="55">
        <f>'Event Log'!B22</f>
        <v>46255</v>
      </c>
      <c r="B49" s="56">
        <f>'Event Log'!C22</f>
        <v>100</v>
      </c>
      <c r="C49" s="56">
        <f>'Event Log'!C53</f>
        <v>100</v>
      </c>
      <c r="D49" s="56">
        <f>'Event Log'!C84</f>
        <v>100</v>
      </c>
      <c r="E49" s="56">
        <f>'Event Log'!C115</f>
        <v>100</v>
      </c>
      <c r="F49" s="43"/>
      <c r="G49" s="43"/>
      <c r="H49" s="43"/>
      <c r="I49" s="43"/>
      <c r="J49" s="43"/>
      <c r="K49" s="43"/>
      <c r="L49" s="43"/>
    </row>
    <row r="50" spans="1:12" ht="14.4" x14ac:dyDescent="0.3">
      <c r="A50" s="55">
        <f>'Event Log'!B23</f>
        <v>46256</v>
      </c>
      <c r="B50" s="56">
        <f>'Event Log'!C23</f>
        <v>100</v>
      </c>
      <c r="C50" s="56">
        <f>'Event Log'!C54</f>
        <v>100</v>
      </c>
      <c r="D50" s="56">
        <f>'Event Log'!C85</f>
        <v>100</v>
      </c>
      <c r="E50" s="56">
        <f>'Event Log'!C116</f>
        <v>100</v>
      </c>
      <c r="F50" s="43"/>
      <c r="G50" s="43"/>
      <c r="H50" s="43"/>
      <c r="I50" s="43"/>
      <c r="J50" s="43"/>
      <c r="K50" s="43"/>
      <c r="L50" s="43"/>
    </row>
    <row r="51" spans="1:12" ht="14.4" x14ac:dyDescent="0.3">
      <c r="A51" s="55">
        <f>'Event Log'!B24</f>
        <v>46257</v>
      </c>
      <c r="B51" s="56">
        <f>'Event Log'!C24</f>
        <v>100</v>
      </c>
      <c r="C51" s="56">
        <f>'Event Log'!C55</f>
        <v>100</v>
      </c>
      <c r="D51" s="56">
        <f>'Event Log'!C86</f>
        <v>100</v>
      </c>
      <c r="E51" s="56">
        <f>'Event Log'!C117</f>
        <v>100</v>
      </c>
      <c r="F51" s="43"/>
      <c r="G51" s="43"/>
      <c r="H51" s="43"/>
      <c r="I51" s="43"/>
      <c r="J51" s="43"/>
      <c r="K51" s="43"/>
      <c r="L51" s="43"/>
    </row>
    <row r="52" spans="1:12" ht="14.4" x14ac:dyDescent="0.3">
      <c r="A52" s="55">
        <f>'Event Log'!B25</f>
        <v>46258</v>
      </c>
      <c r="B52" s="56">
        <f>'Event Log'!C25</f>
        <v>100</v>
      </c>
      <c r="C52" s="56">
        <f>'Event Log'!C56</f>
        <v>100</v>
      </c>
      <c r="D52" s="56">
        <f>'Event Log'!C87</f>
        <v>100</v>
      </c>
      <c r="E52" s="56">
        <f>'Event Log'!C118</f>
        <v>100</v>
      </c>
      <c r="F52" s="43"/>
      <c r="G52" s="43"/>
      <c r="H52" s="43"/>
      <c r="I52" s="43"/>
      <c r="J52" s="43"/>
      <c r="K52" s="43"/>
      <c r="L52" s="43"/>
    </row>
    <row r="53" spans="1:12" ht="14.4" x14ac:dyDescent="0.3">
      <c r="A53" s="55">
        <f>'Event Log'!B26</f>
        <v>46259</v>
      </c>
      <c r="B53" s="56">
        <f>'Event Log'!C26</f>
        <v>100</v>
      </c>
      <c r="C53" s="56">
        <f>'Event Log'!C57</f>
        <v>100</v>
      </c>
      <c r="D53" s="56">
        <f>'Event Log'!C88</f>
        <v>100</v>
      </c>
      <c r="E53" s="56">
        <f>'Event Log'!C119</f>
        <v>100</v>
      </c>
      <c r="F53" s="43"/>
      <c r="G53" s="43"/>
      <c r="H53" s="43"/>
      <c r="I53" s="43"/>
      <c r="J53" s="43"/>
      <c r="K53" s="43"/>
      <c r="L53" s="43"/>
    </row>
    <row r="54" spans="1:12" ht="14.4" x14ac:dyDescent="0.3">
      <c r="A54" s="55">
        <f>'Event Log'!B27</f>
        <v>46260</v>
      </c>
      <c r="B54" s="56">
        <f>'Event Log'!C27</f>
        <v>100</v>
      </c>
      <c r="C54" s="56">
        <f>'Event Log'!C58</f>
        <v>100</v>
      </c>
      <c r="D54" s="56">
        <f>'Event Log'!C89</f>
        <v>100</v>
      </c>
      <c r="E54" s="56">
        <f>'Event Log'!C120</f>
        <v>100</v>
      </c>
      <c r="F54" s="43"/>
      <c r="G54" s="43"/>
      <c r="H54" s="43"/>
      <c r="I54" s="43"/>
      <c r="J54" s="43"/>
      <c r="K54" s="43"/>
      <c r="L54" s="43"/>
    </row>
    <row r="55" spans="1:12" ht="14.4" x14ac:dyDescent="0.3">
      <c r="A55" s="55">
        <f>'Event Log'!B28</f>
        <v>46261</v>
      </c>
      <c r="B55" s="56">
        <f>'Event Log'!C28</f>
        <v>100</v>
      </c>
      <c r="C55" s="56">
        <f>'Event Log'!C59</f>
        <v>100</v>
      </c>
      <c r="D55" s="56">
        <f>'Event Log'!C90</f>
        <v>100</v>
      </c>
      <c r="E55" s="56">
        <f>'Event Log'!C121</f>
        <v>100</v>
      </c>
      <c r="F55" s="43"/>
      <c r="G55" s="43"/>
      <c r="H55" s="43"/>
      <c r="I55" s="43"/>
      <c r="J55" s="43"/>
      <c r="K55" s="43"/>
      <c r="L55" s="43"/>
    </row>
    <row r="56" spans="1:12" ht="14.4" x14ac:dyDescent="0.3">
      <c r="A56" s="55">
        <f>'Event Log'!B29</f>
        <v>46262</v>
      </c>
      <c r="B56" s="56">
        <f>'Event Log'!C29</f>
        <v>100</v>
      </c>
      <c r="C56" s="56">
        <f>'Event Log'!C60</f>
        <v>100</v>
      </c>
      <c r="D56" s="56">
        <f>'Event Log'!C91</f>
        <v>100</v>
      </c>
      <c r="E56" s="56">
        <f>'Event Log'!C122</f>
        <v>100</v>
      </c>
      <c r="F56" s="43"/>
      <c r="G56" s="43"/>
      <c r="H56" s="43"/>
      <c r="I56" s="43"/>
      <c r="J56" s="43"/>
      <c r="K56" s="43"/>
      <c r="L56" s="43"/>
    </row>
    <row r="57" spans="1:12" ht="14.4" x14ac:dyDescent="0.3">
      <c r="A57" s="55">
        <f>'Event Log'!B30</f>
        <v>46263</v>
      </c>
      <c r="B57" s="56">
        <f>'Event Log'!C30</f>
        <v>100</v>
      </c>
      <c r="C57" s="56">
        <f>'Event Log'!C61</f>
        <v>100</v>
      </c>
      <c r="D57" s="56">
        <f>'Event Log'!C92</f>
        <v>100</v>
      </c>
      <c r="E57" s="56">
        <f>'Event Log'!C123</f>
        <v>100</v>
      </c>
      <c r="F57" s="43"/>
      <c r="G57" s="43"/>
      <c r="H57" s="43"/>
      <c r="I57" s="43"/>
      <c r="J57" s="43"/>
      <c r="K57" s="43"/>
      <c r="L57" s="43"/>
    </row>
    <row r="58" spans="1:12" ht="14.4" x14ac:dyDescent="0.3">
      <c r="A58" s="55">
        <f>'Event Log'!B31</f>
        <v>46264</v>
      </c>
      <c r="B58" s="56">
        <f>'Event Log'!C31</f>
        <v>100</v>
      </c>
      <c r="C58" s="56">
        <f>'Event Log'!C62</f>
        <v>100</v>
      </c>
      <c r="D58" s="56">
        <f>'Event Log'!C93</f>
        <v>100</v>
      </c>
      <c r="E58" s="56">
        <f>'Event Log'!C124</f>
        <v>100</v>
      </c>
      <c r="F58" s="43"/>
      <c r="G58" s="43"/>
      <c r="H58" s="43"/>
      <c r="I58" s="43"/>
      <c r="J58" s="43"/>
      <c r="K58" s="43"/>
      <c r="L58" s="43"/>
    </row>
    <row r="59" spans="1:12" ht="14.4" x14ac:dyDescent="0.3">
      <c r="A59" s="57">
        <f>'Event Log'!B32</f>
        <v>46265</v>
      </c>
      <c r="B59" s="58">
        <f>'Event Log'!C32</f>
        <v>99.722222222222229</v>
      </c>
      <c r="C59" s="58">
        <f>'Event Log'!C63</f>
        <v>100</v>
      </c>
      <c r="D59" s="58">
        <f>'Event Log'!C94</f>
        <v>100</v>
      </c>
      <c r="E59" s="58">
        <f>'Event Log'!C125</f>
        <v>100</v>
      </c>
      <c r="F59" s="43"/>
      <c r="G59" s="43"/>
      <c r="H59" s="43"/>
      <c r="I59" s="43"/>
      <c r="J59" s="43"/>
      <c r="K59" s="43"/>
      <c r="L59" s="43"/>
    </row>
    <row r="60" spans="1:12" ht="14.4" x14ac:dyDescent="0.3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</sheetData>
  <mergeCells count="21">
    <mergeCell ref="G16:L16"/>
    <mergeCell ref="G17:L17"/>
    <mergeCell ref="A21:F21"/>
    <mergeCell ref="A27:E27"/>
    <mergeCell ref="A25:F26"/>
    <mergeCell ref="G15:L15"/>
    <mergeCell ref="A1:L2"/>
    <mergeCell ref="A3:L3"/>
    <mergeCell ref="A5:C5"/>
    <mergeCell ref="A6:C7"/>
    <mergeCell ref="D5:F5"/>
    <mergeCell ref="D6:F7"/>
    <mergeCell ref="G5:I5"/>
    <mergeCell ref="G6:I7"/>
    <mergeCell ref="J5:L5"/>
    <mergeCell ref="J6:L7"/>
    <mergeCell ref="A9:L10"/>
    <mergeCell ref="A12:F12"/>
    <mergeCell ref="G12:L12"/>
    <mergeCell ref="G13:L13"/>
    <mergeCell ref="G14:L14"/>
  </mergeCells>
  <conditionalFormatting sqref="B14:B17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conditionalFormatting sqref="C14:C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{2D5A5363-0B1A-4E90-803D-51930AAD9DB7}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5A5363-0B1A-4E90-803D-51930AAD9DB7}">
            <x14:dataBar minLength="0" maxLength="100" negativeBarColorSameAsPositive="1" axisPosition="none">
              <x14:cfvo type="min"/>
              <x14:cfvo type="max"/>
            </x14:dataBar>
          </x14:cfRule>
          <xm:sqref>C14:C17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Overview</vt:lpstr>
      <vt:lpstr>Event Log</vt:lpstr>
      <vt:lpstr>วิเคราะห์ข้อมูล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Wisitsak Porkpermdee</dc:creator>
  <cp:keywords/>
  <dc:description/>
  <cp:lastModifiedBy>Office</cp:lastModifiedBy>
  <cp:revision/>
  <dcterms:created xsi:type="dcterms:W3CDTF">2026-08-05T07:50:57Z</dcterms:created>
  <dcterms:modified xsi:type="dcterms:W3CDTF">2026-09-10T08:31:17Z</dcterms:modified>
  <cp:category/>
  <cp:contentStatus/>
</cp:coreProperties>
</file>