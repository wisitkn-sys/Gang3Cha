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Forth\0.USO\PM CM\ชุมสาย 1 วัน\"/>
    </mc:Choice>
  </mc:AlternateContent>
  <xr:revisionPtr revIDLastSave="0" documentId="13_ncr:1_{1EE6F5E3-5C02-4684-9242-8006D854F03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รายงานสรุป" sheetId="202" r:id="rId1"/>
    <sheet name="Overview" sheetId="203" r:id="rId2"/>
    <sheet name="Event Log" sheetId="204" r:id="rId3"/>
  </sheets>
  <definedNames>
    <definedName name="__xlnm.Print_Area_3" localSheetId="0">#REF!</definedName>
    <definedName name="__xlnm.Print_Area_3">#REF!</definedName>
    <definedName name="__xlnm.Print_Area_4">#REF!</definedName>
    <definedName name="_xlnm._FilterDatabase" localSheetId="2" hidden="1">'Event Log'!$A$1:$E$218</definedName>
    <definedName name="IP_PBX" localSheetId="0">#REF!</definedName>
    <definedName name="IP_PBX">#REF!</definedName>
    <definedName name="OLE_LINK1">#REF!</definedName>
    <definedName name="_xlnm.Print_Area" localSheetId="0">รายงานสรุป!$A$2:$R$16</definedName>
    <definedName name="Type" localSheetId="0">#REF!</definedName>
    <definedName name="Typ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04" l="1"/>
  <c r="C6" i="204" s="1"/>
  <c r="D7" i="204"/>
  <c r="C7" i="204" s="1"/>
  <c r="D8" i="204"/>
  <c r="C8" i="204" s="1"/>
  <c r="D9" i="204"/>
  <c r="C9" i="204" s="1"/>
  <c r="D11" i="204"/>
  <c r="C11" i="204" s="1"/>
  <c r="D13" i="204"/>
  <c r="C13" i="204" s="1"/>
  <c r="D14" i="204"/>
  <c r="C14" i="204" s="1"/>
  <c r="D16" i="204"/>
  <c r="C16" i="204" s="1"/>
  <c r="D17" i="204"/>
  <c r="C17" i="204" s="1"/>
  <c r="D19" i="204"/>
  <c r="C19" i="204" s="1"/>
  <c r="D21" i="204"/>
  <c r="C21" i="204" s="1"/>
  <c r="D22" i="204"/>
  <c r="C22" i="204" s="1"/>
  <c r="D23" i="204"/>
  <c r="C23" i="204" s="1"/>
  <c r="D24" i="204"/>
  <c r="C24" i="204" s="1"/>
  <c r="D25" i="204"/>
  <c r="C25" i="204" s="1"/>
  <c r="D26" i="204"/>
  <c r="C26" i="204" s="1"/>
  <c r="D27" i="204"/>
  <c r="C27" i="204" s="1"/>
  <c r="D28" i="204"/>
  <c r="C28" i="204" s="1"/>
  <c r="D29" i="204"/>
  <c r="C29" i="204" s="1"/>
  <c r="D30" i="204"/>
  <c r="C30" i="204" s="1"/>
  <c r="D31" i="204"/>
  <c r="C31" i="204" s="1"/>
  <c r="D32" i="204"/>
  <c r="C32" i="204" s="1"/>
  <c r="D33" i="204"/>
  <c r="C33" i="204" s="1"/>
  <c r="D36" i="204"/>
  <c r="C36" i="204" s="1"/>
  <c r="D37" i="204"/>
  <c r="C37" i="204" s="1"/>
  <c r="D38" i="204"/>
  <c r="C38" i="204" s="1"/>
  <c r="D41" i="204"/>
  <c r="C41" i="204" s="1"/>
  <c r="D42" i="204"/>
  <c r="C42" i="204" s="1"/>
  <c r="D43" i="204"/>
  <c r="C43" i="204" s="1"/>
  <c r="D44" i="204"/>
  <c r="C44" i="204" s="1"/>
  <c r="D45" i="204"/>
  <c r="C45" i="204" s="1"/>
  <c r="D47" i="204"/>
  <c r="C47" i="204" s="1"/>
  <c r="D48" i="204"/>
  <c r="C48" i="204" s="1"/>
  <c r="D50" i="204"/>
  <c r="C50" i="204" s="1"/>
  <c r="D53" i="204"/>
  <c r="C53" i="204" s="1"/>
  <c r="D56" i="204"/>
  <c r="C56" i="204" s="1"/>
  <c r="D57" i="204"/>
  <c r="C57" i="204" s="1"/>
  <c r="D58" i="204"/>
  <c r="C58" i="204" s="1"/>
  <c r="D59" i="204"/>
  <c r="C59" i="204" s="1"/>
  <c r="D61" i="204"/>
  <c r="C61" i="204" s="1"/>
  <c r="D62" i="204"/>
  <c r="C62" i="204" s="1"/>
  <c r="D63" i="204"/>
  <c r="C63" i="204" s="1"/>
  <c r="D65" i="204"/>
  <c r="C65" i="204" s="1"/>
  <c r="D67" i="204"/>
  <c r="C67" i="204" s="1"/>
  <c r="D70" i="204"/>
  <c r="C70" i="204" s="1"/>
  <c r="D71" i="204"/>
  <c r="C71" i="204" s="1"/>
  <c r="D73" i="204"/>
  <c r="C73" i="204" s="1"/>
  <c r="D74" i="204"/>
  <c r="C74" i="204" s="1"/>
  <c r="D75" i="204"/>
  <c r="C75" i="204" s="1"/>
  <c r="D76" i="204"/>
  <c r="C76" i="204" s="1"/>
  <c r="D77" i="204"/>
  <c r="C77" i="204" s="1"/>
  <c r="D86" i="204"/>
  <c r="C86" i="204" s="1"/>
  <c r="D88" i="204"/>
  <c r="C88" i="204" s="1"/>
  <c r="D92" i="204"/>
  <c r="C92" i="204" s="1"/>
  <c r="D93" i="204"/>
  <c r="C93" i="204" s="1"/>
  <c r="D96" i="204"/>
  <c r="C96" i="204" s="1"/>
  <c r="D98" i="204"/>
  <c r="C98" i="204" s="1"/>
  <c r="D100" i="204"/>
  <c r="C100" i="204" s="1"/>
  <c r="D101" i="204"/>
  <c r="C101" i="204" s="1"/>
  <c r="D102" i="204"/>
  <c r="C102" i="204" s="1"/>
  <c r="D107" i="204"/>
  <c r="C107" i="204" s="1"/>
  <c r="D108" i="204"/>
  <c r="C108" i="204" s="1"/>
  <c r="D109" i="204"/>
  <c r="C109" i="204" s="1"/>
  <c r="D110" i="204"/>
  <c r="C110" i="204" s="1"/>
  <c r="D111" i="204"/>
  <c r="C111" i="204" s="1"/>
  <c r="D112" i="204"/>
  <c r="C112" i="204" s="1"/>
  <c r="D115" i="204"/>
  <c r="C115" i="204" s="1"/>
  <c r="D116" i="204"/>
  <c r="C116" i="204" s="1"/>
  <c r="D118" i="204"/>
  <c r="C118" i="204" s="1"/>
  <c r="D119" i="204"/>
  <c r="C119" i="204" s="1"/>
  <c r="D122" i="204"/>
  <c r="D123" i="204"/>
  <c r="D125" i="204"/>
  <c r="C125" i="204" s="1"/>
  <c r="C124" i="204"/>
  <c r="C123" i="204"/>
  <c r="C122" i="204"/>
  <c r="C121" i="204"/>
  <c r="C120" i="204"/>
  <c r="C117" i="204"/>
  <c r="C114" i="204"/>
  <c r="C113" i="204"/>
  <c r="C106" i="204"/>
  <c r="C105" i="204"/>
  <c r="C104" i="204"/>
  <c r="C103" i="204"/>
  <c r="C99" i="204"/>
  <c r="C97" i="204"/>
  <c r="C95" i="204"/>
  <c r="C94" i="204"/>
  <c r="C91" i="204"/>
  <c r="C90" i="204"/>
  <c r="C89" i="204"/>
  <c r="C87" i="204"/>
  <c r="C85" i="204"/>
  <c r="C84" i="204"/>
  <c r="C83" i="204"/>
  <c r="C82" i="204"/>
  <c r="C81" i="204"/>
  <c r="C80" i="204"/>
  <c r="C79" i="204"/>
  <c r="C78" i="204"/>
  <c r="C72" i="204"/>
  <c r="C69" i="204"/>
  <c r="C68" i="204"/>
  <c r="C66" i="204"/>
  <c r="C64" i="204"/>
  <c r="C60" i="204"/>
  <c r="C55" i="204"/>
  <c r="C54" i="204"/>
  <c r="C52" i="204"/>
  <c r="C51" i="204"/>
  <c r="C49" i="204"/>
  <c r="C46" i="204"/>
  <c r="C40" i="204"/>
  <c r="C39" i="204"/>
  <c r="C35" i="204"/>
  <c r="C34" i="204"/>
  <c r="C20" i="204"/>
  <c r="C18" i="204"/>
  <c r="C15" i="204"/>
  <c r="C12" i="204"/>
  <c r="C10" i="204"/>
  <c r="C5" i="204"/>
  <c r="C4" i="204"/>
  <c r="C3" i="204"/>
  <c r="C2" i="204"/>
  <c r="P4" i="203"/>
  <c r="O4" i="203"/>
  <c r="N4" i="203"/>
  <c r="M4" i="203"/>
  <c r="L4" i="203"/>
  <c r="K4" i="203"/>
  <c r="J4" i="203"/>
  <c r="I4" i="203"/>
  <c r="H4" i="203"/>
  <c r="G4" i="203"/>
  <c r="F4" i="203"/>
  <c r="E4" i="203"/>
  <c r="D4" i="203"/>
  <c r="C4" i="203"/>
  <c r="A4" i="203"/>
  <c r="Q6" i="203"/>
  <c r="Q7" i="203"/>
  <c r="Q8" i="203"/>
  <c r="Q9" i="203"/>
  <c r="Q10" i="203"/>
  <c r="Q11" i="203"/>
  <c r="Q12" i="203"/>
  <c r="Q13" i="203"/>
  <c r="Q14" i="203"/>
  <c r="Q15" i="203"/>
  <c r="Q16" i="203"/>
  <c r="Q17" i="203"/>
  <c r="Q18" i="203"/>
  <c r="Q19" i="203"/>
  <c r="Q20" i="203"/>
  <c r="Q5" i="203"/>
  <c r="N9" i="202"/>
  <c r="J9" i="202"/>
  <c r="F13" i="202"/>
  <c r="F9" i="202"/>
  <c r="F14" i="202"/>
  <c r="J13" i="202"/>
  <c r="B9" i="202"/>
  <c r="C6" i="202"/>
  <c r="B4" i="203"/>
  <c r="Q21" i="203" l="1"/>
  <c r="J15" i="202" s="1"/>
  <c r="F15" i="202" l="1"/>
</calcChain>
</file>

<file path=xl/sharedStrings.xml><?xml version="1.0" encoding="utf-8"?>
<sst xmlns="http://schemas.openxmlformats.org/spreadsheetml/2006/main" count="225" uniqueCount="81">
  <si>
    <t>การจัดซื้ออุปกรณ์พร้อมดำเนินการติดตั้ง
โครงการเพิ่มประสิทธิภาพระบบโครงข่ายสื่อสารด้วยอุปกรณ์ทวนสัญญาณผ่านคลื่นความถี่สูง (SHF)
เพื่อสนับสนุนการปฏิบัติราชการและแก้ไขปัญหาให้กับประชาชนในพื้นที่ห่างไกล
สัญญาเลขที่ ๘๖๘๐๒๒๘ ลงวันที่ ๒๓ กรกฎาคม ๒๕๖๘</t>
  </si>
  <si>
    <t>รายงานสรุปสถานะระบบชุมสายประจำวัน / DAILY  SYSTEM STATUS REPORT</t>
  </si>
  <si>
    <t>วันที่</t>
  </si>
  <si>
    <t>ภาพรวมสถานะบริการทั้งระบบ</t>
  </si>
  <si>
    <t>ระบบศูนย์ควบคุมสถานีแม่ข่าย / 
Base Station Switching Center</t>
  </si>
  <si>
    <t>ระบบบริหารจัดการ (iMaster NCE Campus) / 
SD-WAN Controller</t>
  </si>
  <si>
    <t>ระบบบริหารจัดการชุดอุปกรณ์ทวนสัญญาณผ่านคลื่นความถี่สูง (iMaster NCE-T) / Microwave</t>
  </si>
  <si>
    <t>ชุดสั่งการ / Dispatcher</t>
  </si>
  <si>
    <t>สรุปงาน</t>
  </si>
  <si>
    <t>หัวข้อ</t>
  </si>
  <si>
    <t>ผลตรวจสอบ / Result</t>
  </si>
  <si>
    <t>ข้อความสรุป</t>
  </si>
  <si>
    <t>สถานะระบบรวม / Overall system status</t>
  </si>
  <si>
    <t>รายการตรวจสอบสถานีปลายทาง / Station checks</t>
  </si>
  <si>
    <t>ตรวจสอบสถานีและอุปกรณ์ตามรายการรายวัน / Station and equipment monitoring completed</t>
  </si>
  <si>
    <t>รายการรอแก้ไข / Pending corrections</t>
  </si>
  <si>
    <t xml:space="preserve">รายละเอียดผลการตรวจสอบสถานีและอุปกรณ์ชุมสาย / STATION &amp; EQUIPMENT CHECK DETAILS  </t>
  </si>
  <si>
    <t xml:space="preserve">ข้อมูลสถานะระบบ /SYSTEM STATUS INPUT </t>
  </si>
  <si>
    <t>ลำดับ</t>
  </si>
  <si>
    <t>ชื่อสถานี</t>
  </si>
  <si>
    <t>ไฟฟ้า</t>
  </si>
  <si>
    <t>สถานีแม่ข่าย</t>
  </si>
  <si>
    <t>อุปกรณ์กระจายสัญญาณ</t>
  </si>
  <si>
    <t>SD-WAN</t>
  </si>
  <si>
    <t>Microwave</t>
  </si>
  <si>
    <t>LINK</t>
  </si>
  <si>
    <t>กำลังรอการแก้ไข</t>
  </si>
  <si>
    <t>หมายเหตุ</t>
  </si>
  <si>
    <t>No. / ลำดับ</t>
  </si>
  <si>
    <t>System / ระบบ</t>
  </si>
  <si>
    <t>Monitoring scope / ขอบเขตการตรวจสอบ</t>
  </si>
  <si>
    <t>Status / สถานะ</t>
  </si>
  <si>
    <t>Customer message / ข้อความสำหรับแจ้งลูกค้า</t>
  </si>
  <si>
    <t>ปรับปรุงล่าสุด / Updated</t>
  </si>
  <si>
    <t>Electric</t>
  </si>
  <si>
    <t>VSWR &gt; 1.5</t>
  </si>
  <si>
    <t>Tx</t>
  </si>
  <si>
    <t>Rx</t>
  </si>
  <si>
    <t>Down</t>
  </si>
  <si>
    <t>CPRI Cable</t>
  </si>
  <si>
    <t>SFP</t>
  </si>
  <si>
    <t>Not stable</t>
  </si>
  <si>
    <t>BSSC</t>
  </si>
  <si>
    <t>ระบบศูนย์ควบคุมสถานีแม่ข่าย (Base Station Switching Center)</t>
  </si>
  <si>
    <t>ปกติ / Normal</t>
  </si>
  <si>
    <t>ให้บริการตามปกติ ไม่พบเหตุขัดข้อง / Normal operation; no incident found</t>
  </si>
  <si>
    <t>ระบบบริหารจัดการ (iMaster NCE Campus)</t>
  </si>
  <si>
    <t>BS-261</t>
  </si>
  <si>
    <t>BS หนองนกแก้ว</t>
  </si>
  <si>
    <t>ระบบบริหารจัดการชุดอุปกรณ์ทวนสัญญาณผ่านคลื่นความถี่สูง (iMaster NCE-T)</t>
  </si>
  <si>
    <t>BS-262</t>
  </si>
  <si>
    <t>BS ศรีสุขสำราญ</t>
  </si>
  <si>
    <t>Dispatcher</t>
  </si>
  <si>
    <t>ชุดสั่งการ</t>
  </si>
  <si>
    <t>BS-263</t>
  </si>
  <si>
    <t>BS คลองป่าหมู</t>
  </si>
  <si>
    <t>BS-264</t>
  </si>
  <si>
    <t>BS วััดบางอุดม</t>
  </si>
  <si>
    <t>BS-265</t>
  </si>
  <si>
    <t>BS วังงิ้ว</t>
  </si>
  <si>
    <t>BS-266</t>
  </si>
  <si>
    <t xml:space="preserve">BS บ้านปางใหม่พัฒนา </t>
  </si>
  <si>
    <t>BS-267</t>
  </si>
  <si>
    <t>BS ช่อง</t>
  </si>
  <si>
    <t>BS-268</t>
  </si>
  <si>
    <t>BS คลองพลู</t>
  </si>
  <si>
    <t>AGW</t>
  </si>
  <si>
    <t>ห้วยกระเจา</t>
  </si>
  <si>
    <t>คลองลาน</t>
  </si>
  <si>
    <t>เขาสวนกวาง</t>
  </si>
  <si>
    <t>เขาคิชฌกูฎ</t>
  </si>
  <si>
    <t>ย่านตาขาว</t>
  </si>
  <si>
    <t>วังน้ำเขียว</t>
  </si>
  <si>
    <t>หัวไทร</t>
  </si>
  <si>
    <t>ดงเจริญ</t>
  </si>
  <si>
    <t>*** หมายเหตุ เช็คในช่องด้านบนเมื่อมีเหตุให้แก้ไขหรือพบข้อบกพร่อง</t>
  </si>
  <si>
    <t>System</t>
  </si>
  <si>
    <t>Date</t>
  </si>
  <si>
    <t>Online (100%)</t>
  </si>
  <si>
    <t>Down time(min)</t>
  </si>
  <si>
    <t>ขัดข้อง /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</si>
</sst>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[$-107041E]d\ mmmm\ yyyy;@"/>
    <numFmt numFmtId="166" formatCode="B1d\-mmm\-yy"/>
    <numFmt numFmtId="167" formatCode="0.00&quot;%&quot;"/>
  </numFmts>
  <fonts count="31" x14ac:knownFonts="1">
    <font>
      <sz val="11"/>
      <color indexed="8"/>
      <name val="Tahoma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indexed="8"/>
      <name val="Tahoma"/>
      <family val="2"/>
    </font>
    <font>
      <sz val="11"/>
      <color theme="1"/>
      <name val="Calibri"/>
      <family val="2"/>
    </font>
    <font>
      <sz val="10"/>
      <name val="Arial"/>
      <family val="2"/>
    </font>
    <font>
      <i/>
      <sz val="11"/>
      <color indexed="23"/>
      <name val="Tahoma"/>
      <family val="2"/>
    </font>
    <font>
      <sz val="10"/>
      <name val="Arial"/>
      <family val="2"/>
    </font>
    <font>
      <b/>
      <sz val="13"/>
      <color theme="1" tint="0.24994659260841701"/>
      <name val="Calibri Light"/>
      <family val="2"/>
    </font>
    <font>
      <sz val="11"/>
      <color indexed="8"/>
      <name val="TH Sarabun New"/>
      <family val="2"/>
    </font>
    <font>
      <sz val="28"/>
      <name val="TH Sarabun New"/>
      <family val="2"/>
    </font>
    <font>
      <i/>
      <sz val="14"/>
      <color rgb="FF666666"/>
      <name val="TH Sarabun New"/>
      <family val="2"/>
    </font>
    <font>
      <b/>
      <sz val="14"/>
      <color rgb="FFFFFFFF"/>
      <name val="TH Sarabun New"/>
      <family val="2"/>
    </font>
    <font>
      <b/>
      <sz val="14"/>
      <color rgb="FF17365D"/>
      <name val="TH Sarabun New"/>
      <family val="2"/>
    </font>
    <font>
      <sz val="14"/>
      <color indexed="8"/>
      <name val="TH Sarabun New"/>
      <family val="2"/>
    </font>
    <font>
      <sz val="14"/>
      <color rgb="FF666666"/>
      <name val="TH Sarabun New"/>
      <family val="2"/>
    </font>
    <font>
      <sz val="14"/>
      <name val="TH Sarabun New"/>
      <family val="2"/>
    </font>
    <font>
      <b/>
      <sz val="14"/>
      <color indexed="8"/>
      <name val="TH Sarabun New"/>
      <family val="2"/>
    </font>
    <font>
      <sz val="12"/>
      <name val="TH SarabunIT๙"/>
      <family val="2"/>
    </font>
    <font>
      <sz val="10"/>
      <name val="TH SarabunIT๙"/>
      <family val="2"/>
    </font>
    <font>
      <b/>
      <sz val="13"/>
      <name val="TH SarabunIT๙"/>
      <family val="2"/>
    </font>
    <font>
      <b/>
      <sz val="14"/>
      <name val="TH SarabunIT๙"/>
      <family val="2"/>
    </font>
    <font>
      <b/>
      <sz val="14"/>
      <name val="TH Sarabun New"/>
      <family val="2"/>
    </font>
    <font>
      <b/>
      <sz val="12"/>
      <color indexed="8"/>
      <name val="TH Sarabun New"/>
      <family val="2"/>
    </font>
    <font>
      <b/>
      <sz val="12"/>
      <color indexed="8"/>
      <name val="Calibri"/>
      <family val="2"/>
      <scheme val="minor"/>
    </font>
    <font>
      <sz val="12"/>
      <color rgb="FF17365D"/>
      <name val="TH Sarabun New"/>
      <family val="2"/>
    </font>
    <font>
      <sz val="12"/>
      <color indexed="8"/>
      <name val="TH Sarabun New"/>
      <family val="2"/>
    </font>
    <font>
      <sz val="12"/>
      <color indexed="8"/>
      <name val="Calibri"/>
      <family val="2"/>
      <scheme val="minor"/>
    </font>
    <font>
      <sz val="12"/>
      <color rgb="FF17365D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17365D"/>
      </patternFill>
    </fill>
    <fill>
      <patternFill patternType="solid">
        <fgColor rgb="FFEEF4FA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 style="thin">
        <color theme="8" tint="0.79998168889431442"/>
      </left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D9E2F3"/>
      </right>
      <top/>
      <bottom/>
      <diagonal/>
    </border>
  </borders>
  <cellStyleXfs count="16">
    <xf numFmtId="0" fontId="0" fillId="0" borderId="0"/>
    <xf numFmtId="0" fontId="4" fillId="0" borderId="0"/>
    <xf numFmtId="0" fontId="5" fillId="0" borderId="0"/>
    <xf numFmtId="0" fontId="6" fillId="0" borderId="0"/>
    <xf numFmtId="0" fontId="4" fillId="0" borderId="0"/>
    <xf numFmtId="0" fontId="4" fillId="0" borderId="0"/>
    <xf numFmtId="0" fontId="7" fillId="0" borderId="0"/>
    <xf numFmtId="0" fontId="8" fillId="0" borderId="0" applyNumberFormat="0" applyFill="0" applyBorder="0" applyAlignment="0" applyProtection="0"/>
    <xf numFmtId="164" fontId="9" fillId="0" borderId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5" fillId="0" borderId="0"/>
    <xf numFmtId="0" fontId="10" fillId="0" borderId="0" applyFill="0" applyBorder="0" applyProtection="0">
      <alignment horizontal="left" wrapText="1"/>
    </xf>
    <xf numFmtId="0" fontId="1" fillId="0" borderId="0"/>
  </cellStyleXfs>
  <cellXfs count="73">
    <xf numFmtId="0" fontId="0" fillId="0" borderId="0" xfId="0"/>
    <xf numFmtId="0" fontId="11" fillId="0" borderId="0" xfId="0" applyFont="1"/>
    <xf numFmtId="14" fontId="11" fillId="0" borderId="0" xfId="0" applyNumberFormat="1" applyFont="1"/>
    <xf numFmtId="0" fontId="12" fillId="2" borderId="0" xfId="0" applyFont="1" applyFill="1" applyAlignment="1">
      <alignment horizontal="center" vertical="center" wrapText="1"/>
    </xf>
    <xf numFmtId="14" fontId="12" fillId="2" borderId="0" xfId="0" applyNumberFormat="1" applyFont="1" applyFill="1" applyAlignment="1">
      <alignment horizontal="center" vertical="center" wrapText="1"/>
    </xf>
    <xf numFmtId="0" fontId="12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vertical="center" wrapText="1"/>
    </xf>
    <xf numFmtId="0" fontId="13" fillId="4" borderId="0" xfId="0" applyFont="1" applyFill="1" applyAlignment="1">
      <alignment horizontal="center" vertical="center"/>
    </xf>
    <xf numFmtId="0" fontId="16" fillId="0" borderId="0" xfId="0" applyFont="1"/>
    <xf numFmtId="0" fontId="14" fillId="3" borderId="0" xfId="0" applyFont="1" applyFill="1" applyAlignment="1">
      <alignment vertical="center"/>
    </xf>
    <xf numFmtId="0" fontId="14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5" fillId="0" borderId="1" xfId="0" applyFont="1" applyBorder="1" applyAlignment="1">
      <alignment horizontal="left" vertical="center"/>
    </xf>
    <xf numFmtId="0" fontId="15" fillId="5" borderId="0" xfId="0" applyFont="1" applyFill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/>
    </xf>
    <xf numFmtId="0" fontId="15" fillId="4" borderId="4" xfId="0" applyFont="1" applyFill="1" applyBorder="1" applyAlignment="1">
      <alignment horizontal="center"/>
    </xf>
    <xf numFmtId="0" fontId="16" fillId="0" borderId="2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7" fillId="4" borderId="0" xfId="0" applyFont="1" applyFill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0" fontId="16" fillId="6" borderId="0" xfId="0" applyFont="1" applyFill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6" fillId="7" borderId="13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165" fontId="18" fillId="4" borderId="0" xfId="0" applyNumberFormat="1" applyFont="1" applyFill="1" applyAlignment="1">
      <alignment vertical="center"/>
    </xf>
    <xf numFmtId="0" fontId="20" fillId="8" borderId="0" xfId="13" applyFont="1" applyFill="1" applyAlignment="1">
      <alignment vertical="center"/>
    </xf>
    <xf numFmtId="0" fontId="20" fillId="8" borderId="0" xfId="13" applyFont="1" applyFill="1"/>
    <xf numFmtId="0" fontId="21" fillId="8" borderId="0" xfId="15" applyFont="1" applyFill="1" applyAlignment="1">
      <alignment vertical="center"/>
    </xf>
    <xf numFmtId="0" fontId="22" fillId="8" borderId="0" xfId="15" applyFont="1" applyFill="1" applyAlignment="1">
      <alignment vertical="center" wrapText="1"/>
    </xf>
    <xf numFmtId="0" fontId="23" fillId="8" borderId="0" xfId="15" applyFont="1" applyFill="1" applyAlignment="1">
      <alignment horizontal="center" vertical="center"/>
    </xf>
    <xf numFmtId="0" fontId="16" fillId="0" borderId="8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4" fillId="5" borderId="0" xfId="0" applyFont="1" applyFill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0" fontId="27" fillId="0" borderId="1" xfId="0" applyFont="1" applyBorder="1" applyAlignment="1">
      <alignment horizontal="left" vertical="center"/>
    </xf>
    <xf numFmtId="15" fontId="28" fillId="0" borderId="0" xfId="0" applyNumberFormat="1" applyFont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vertical="center"/>
    </xf>
    <xf numFmtId="0" fontId="28" fillId="0" borderId="1" xfId="0" applyFont="1" applyBorder="1" applyAlignment="1">
      <alignment vertical="center"/>
    </xf>
    <xf numFmtId="166" fontId="29" fillId="0" borderId="0" xfId="0" applyNumberFormat="1" applyFont="1" applyAlignment="1">
      <alignment horizontal="center" vertical="center"/>
    </xf>
    <xf numFmtId="167" fontId="29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16" fillId="0" borderId="1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left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15" fillId="5" borderId="12" xfId="0" applyFont="1" applyFill="1" applyBorder="1" applyAlignment="1">
      <alignment horizontal="center" vertical="center" wrapText="1"/>
    </xf>
    <xf numFmtId="0" fontId="22" fillId="8" borderId="0" xfId="15" applyFont="1" applyFill="1" applyAlignment="1">
      <alignment horizontal="center" vertical="center" wrapText="1"/>
    </xf>
    <xf numFmtId="0" fontId="23" fillId="8" borderId="0" xfId="15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/>
    </xf>
    <xf numFmtId="0" fontId="15" fillId="5" borderId="8" xfId="0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center" vertical="center" wrapText="1"/>
    </xf>
    <xf numFmtId="0" fontId="19" fillId="6" borderId="8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left" vertical="center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16" fillId="0" borderId="12" xfId="0" applyFont="1" applyFill="1" applyBorder="1" applyAlignment="1">
      <alignment horizontal="center" vertical="center" wrapText="1"/>
    </xf>
    <xf numFmtId="0" fontId="16" fillId="7" borderId="0" xfId="0" applyFont="1" applyFill="1"/>
  </cellXfs>
  <cellStyles count="16">
    <cellStyle name="Activity" xfId="14" xr:uid="{00000000-0005-0000-0000-000000000000}"/>
    <cellStyle name="Comma 2" xfId="8" xr:uid="{00000000-0005-0000-0000-000001000000}"/>
    <cellStyle name="Excel Built-in Normal" xfId="6" xr:uid="{00000000-0005-0000-0000-000002000000}"/>
    <cellStyle name="Explanatory Text 2" xfId="7" xr:uid="{00000000-0005-0000-0000-000003000000}"/>
    <cellStyle name="Normal" xfId="0" builtinId="0"/>
    <cellStyle name="Normal 14" xfId="1" xr:uid="{00000000-0005-0000-0000-000005000000}"/>
    <cellStyle name="Normal 14 2" xfId="9" xr:uid="{00000000-0005-0000-0000-000006000000}"/>
    <cellStyle name="Normal 14 3" xfId="10" xr:uid="{00000000-0005-0000-0000-000007000000}"/>
    <cellStyle name="Normal 14 3 2" xfId="11" xr:uid="{00000000-0005-0000-0000-000008000000}"/>
    <cellStyle name="Normal 15" xfId="5" xr:uid="{00000000-0005-0000-0000-000009000000}"/>
    <cellStyle name="Normal 2" xfId="13" xr:uid="{00000000-0005-0000-0000-00000A000000}"/>
    <cellStyle name="Normal 2 4" xfId="3" xr:uid="{00000000-0005-0000-0000-00000B000000}"/>
    <cellStyle name="Normal 3" xfId="15" xr:uid="{00000000-0005-0000-0000-00000C000000}"/>
    <cellStyle name="Normal 3 5" xfId="2" xr:uid="{00000000-0005-0000-0000-00000D000000}"/>
    <cellStyle name="Normal 4 4" xfId="4" xr:uid="{00000000-0005-0000-0000-00000E000000}"/>
    <cellStyle name="Normal 4 4 2" xfId="12" xr:uid="{00000000-0005-0000-0000-00000F000000}"/>
  </cellStyles>
  <dxfs count="9">
    <dxf>
      <font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BSSC — Online Availability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Online (%)</c:v>
          </c:tx>
          <c:spPr>
            <a:ln w="28575" cap="rnd">
              <a:solidFill>
                <a:srgbClr val="1F4E78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'Event Log'!$B$2:$B$32</c:f>
              <c:numCache>
                <c:formatCode>d\-mmm\-yy</c:formatCode>
                <c:ptCount val="31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  <c:pt idx="30">
                  <c:v>46265</c:v>
                </c:pt>
              </c:numCache>
            </c:numRef>
          </c:cat>
          <c:val>
            <c:numRef>
              <c:f>'Event Log'!$C$2:$C$32</c:f>
              <c:numCache>
                <c:formatCode>0.00"%"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99.305555555555557</c:v>
                </c:pt>
                <c:pt idx="3">
                  <c:v>100</c:v>
                </c:pt>
                <c:pt idx="4">
                  <c:v>99.513888888888886</c:v>
                </c:pt>
                <c:pt idx="5">
                  <c:v>99.861111111111114</c:v>
                </c:pt>
                <c:pt idx="6">
                  <c:v>99.930555555555557</c:v>
                </c:pt>
                <c:pt idx="7">
                  <c:v>99.861111111111114</c:v>
                </c:pt>
                <c:pt idx="8">
                  <c:v>100</c:v>
                </c:pt>
                <c:pt idx="9">
                  <c:v>99.375</c:v>
                </c:pt>
                <c:pt idx="10">
                  <c:v>100</c:v>
                </c:pt>
                <c:pt idx="11">
                  <c:v>99.444444444444443</c:v>
                </c:pt>
                <c:pt idx="12">
                  <c:v>99.583333333333329</c:v>
                </c:pt>
                <c:pt idx="13">
                  <c:v>100</c:v>
                </c:pt>
                <c:pt idx="14">
                  <c:v>100</c:v>
                </c:pt>
                <c:pt idx="15">
                  <c:v>99.444444444444443</c:v>
                </c:pt>
                <c:pt idx="16">
                  <c:v>100</c:v>
                </c:pt>
                <c:pt idx="17">
                  <c:v>99.305555555555557</c:v>
                </c:pt>
                <c:pt idx="18">
                  <c:v>100</c:v>
                </c:pt>
                <c:pt idx="19">
                  <c:v>99.791666666666671</c:v>
                </c:pt>
                <c:pt idx="20">
                  <c:v>99.444444444444443</c:v>
                </c:pt>
                <c:pt idx="21">
                  <c:v>99.861111111111114</c:v>
                </c:pt>
                <c:pt idx="22">
                  <c:v>99.583333333333329</c:v>
                </c:pt>
                <c:pt idx="23">
                  <c:v>99.791666666666671</c:v>
                </c:pt>
                <c:pt idx="24">
                  <c:v>99.305555555555557</c:v>
                </c:pt>
                <c:pt idx="25">
                  <c:v>99.930555555555557</c:v>
                </c:pt>
                <c:pt idx="26">
                  <c:v>99.375</c:v>
                </c:pt>
                <c:pt idx="27">
                  <c:v>99.722222222222229</c:v>
                </c:pt>
                <c:pt idx="28">
                  <c:v>99.652777777777786</c:v>
                </c:pt>
                <c:pt idx="29">
                  <c:v>100</c:v>
                </c:pt>
                <c:pt idx="30">
                  <c:v>99.930555555555557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69-46C0-AB3E-AA917B6D1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6545031"/>
        <c:axId val="2036547079"/>
      </c:lineChart>
      <c:dateAx>
        <c:axId val="20365450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547079"/>
        <c:crosses val="autoZero"/>
        <c:auto val="0"/>
        <c:lblOffset val="100"/>
        <c:baseTimeUnit val="days"/>
        <c:majorUnit val="2"/>
        <c:majorTimeUnit val="days"/>
      </c:dateAx>
      <c:valAx>
        <c:axId val="2036547079"/>
        <c:scaling>
          <c:orientation val="minMax"/>
          <c:max val="100"/>
          <c:min val="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Online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545031"/>
        <c:crosses val="autoZero"/>
        <c:crossBetween val="between"/>
        <c:majorUnit val="1"/>
        <c:minorUnit val="0.4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SD-WAN — Online Availability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Online (%)</c:v>
          </c:tx>
          <c:spPr>
            <a:ln w="28575" cap="rnd">
              <a:solidFill>
                <a:srgbClr val="2E75B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'Event Log'!$B$33:$B$63</c:f>
              <c:numCache>
                <c:formatCode>d\-mmm\-yy</c:formatCode>
                <c:ptCount val="31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  <c:pt idx="30">
                  <c:v>46265</c:v>
                </c:pt>
              </c:numCache>
            </c:numRef>
          </c:cat>
          <c:val>
            <c:numRef>
              <c:f>'Event Log'!$C$33:$C$63</c:f>
              <c:numCache>
                <c:formatCode>0.00"%"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99.513888888888886</c:v>
                </c:pt>
                <c:pt idx="4">
                  <c:v>99.930555555555557</c:v>
                </c:pt>
                <c:pt idx="5">
                  <c:v>99.305555555555557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99.583333333333329</c:v>
                </c:pt>
                <c:pt idx="10">
                  <c:v>99.722222222222229</c:v>
                </c:pt>
                <c:pt idx="11">
                  <c:v>100</c:v>
                </c:pt>
                <c:pt idx="12">
                  <c:v>99.722222222222229</c:v>
                </c:pt>
                <c:pt idx="13">
                  <c:v>100</c:v>
                </c:pt>
                <c:pt idx="14">
                  <c:v>99.652777777777786</c:v>
                </c:pt>
                <c:pt idx="15">
                  <c:v>99.583333333333329</c:v>
                </c:pt>
                <c:pt idx="16">
                  <c:v>100</c:v>
                </c:pt>
                <c:pt idx="17">
                  <c:v>99.305555555555557</c:v>
                </c:pt>
                <c:pt idx="18">
                  <c:v>100</c:v>
                </c:pt>
                <c:pt idx="19">
                  <c:v>100</c:v>
                </c:pt>
                <c:pt idx="20">
                  <c:v>99.652777777777786</c:v>
                </c:pt>
                <c:pt idx="21">
                  <c:v>100</c:v>
                </c:pt>
                <c:pt idx="22">
                  <c:v>100</c:v>
                </c:pt>
                <c:pt idx="23">
                  <c:v>99.791666666666671</c:v>
                </c:pt>
                <c:pt idx="24">
                  <c:v>100</c:v>
                </c:pt>
                <c:pt idx="25">
                  <c:v>99.861111111111114</c:v>
                </c:pt>
                <c:pt idx="26">
                  <c:v>99.375</c:v>
                </c:pt>
                <c:pt idx="27">
                  <c:v>100</c:v>
                </c:pt>
                <c:pt idx="28">
                  <c:v>99.375</c:v>
                </c:pt>
                <c:pt idx="29">
                  <c:v>99.930555555555557</c:v>
                </c:pt>
                <c:pt idx="30">
                  <c:v>99.583333333333329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BB-4A90-98AF-AB1B047A4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7372935"/>
        <c:axId val="2037374983"/>
      </c:lineChart>
      <c:dateAx>
        <c:axId val="2037372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374983"/>
        <c:crosses val="autoZero"/>
        <c:auto val="0"/>
        <c:lblOffset val="100"/>
        <c:baseTimeUnit val="days"/>
        <c:majorUnit val="2"/>
        <c:majorTimeUnit val="days"/>
      </c:dateAx>
      <c:valAx>
        <c:axId val="2037374983"/>
        <c:scaling>
          <c:orientation val="minMax"/>
          <c:max val="100"/>
          <c:min val="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Online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372935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Microwave — Online Availability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Online (%)</c:v>
          </c:tx>
          <c:spPr>
            <a:ln w="28575" cap="rnd">
              <a:solidFill>
                <a:srgbClr val="54823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'Event Log'!$B$64:$B$94</c:f>
              <c:numCache>
                <c:formatCode>d\-mmm\-yy</c:formatCode>
                <c:ptCount val="31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  <c:pt idx="30">
                  <c:v>46265</c:v>
                </c:pt>
              </c:numCache>
            </c:numRef>
          </c:cat>
          <c:val>
            <c:numRef>
              <c:f>'Event Log'!$C$64:$C$94</c:f>
              <c:numCache>
                <c:formatCode>0.00"%"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99.930555555555557</c:v>
                </c:pt>
                <c:pt idx="4">
                  <c:v>100</c:v>
                </c:pt>
                <c:pt idx="5">
                  <c:v>100</c:v>
                </c:pt>
                <c:pt idx="6">
                  <c:v>99.444444444444443</c:v>
                </c:pt>
                <c:pt idx="7">
                  <c:v>99.791666666666671</c:v>
                </c:pt>
                <c:pt idx="8">
                  <c:v>100</c:v>
                </c:pt>
                <c:pt idx="9">
                  <c:v>99.583333333333329</c:v>
                </c:pt>
                <c:pt idx="10">
                  <c:v>99.583333333333329</c:v>
                </c:pt>
                <c:pt idx="11">
                  <c:v>99.930555555555557</c:v>
                </c:pt>
                <c:pt idx="12">
                  <c:v>99.652777777777786</c:v>
                </c:pt>
                <c:pt idx="13">
                  <c:v>99.652777777777786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99.375</c:v>
                </c:pt>
                <c:pt idx="23">
                  <c:v>100</c:v>
                </c:pt>
                <c:pt idx="24">
                  <c:v>99.305555555555557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99.652777777777786</c:v>
                </c:pt>
                <c:pt idx="29">
                  <c:v>99.513888888888886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50-4FC5-B040-DC3752E49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9873031"/>
        <c:axId val="2040075783"/>
      </c:lineChart>
      <c:dateAx>
        <c:axId val="20398730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075783"/>
        <c:crosses val="autoZero"/>
        <c:auto val="0"/>
        <c:lblOffset val="100"/>
        <c:baseTimeUnit val="days"/>
        <c:majorUnit val="2"/>
        <c:majorTimeUnit val="days"/>
      </c:dateAx>
      <c:valAx>
        <c:axId val="2040075783"/>
        <c:scaling>
          <c:orientation val="minMax"/>
          <c:max val="100"/>
          <c:min val="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Online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87303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Dispatcher — Online Availability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Online (%)</c:v>
          </c:tx>
          <c:spPr>
            <a:ln w="28575" cap="rnd">
              <a:solidFill>
                <a:srgbClr val="BF7C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'Event Log'!$B$95:$B$125</c:f>
              <c:numCache>
                <c:formatCode>d\-mmm\-yy</c:formatCode>
                <c:ptCount val="31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  <c:pt idx="30">
                  <c:v>46265</c:v>
                </c:pt>
              </c:numCache>
            </c:numRef>
          </c:cat>
          <c:val>
            <c:numRef>
              <c:f>'Event Log'!$C$95:$C$125</c:f>
              <c:numCache>
                <c:formatCode>0.00"%"</c:formatCode>
                <c:ptCount val="31"/>
                <c:pt idx="0">
                  <c:v>100</c:v>
                </c:pt>
                <c:pt idx="1">
                  <c:v>99.444444444444443</c:v>
                </c:pt>
                <c:pt idx="2">
                  <c:v>100</c:v>
                </c:pt>
                <c:pt idx="3">
                  <c:v>99.583333333333329</c:v>
                </c:pt>
                <c:pt idx="4">
                  <c:v>100</c:v>
                </c:pt>
                <c:pt idx="5">
                  <c:v>99.444444444444443</c:v>
                </c:pt>
                <c:pt idx="6">
                  <c:v>99.513888888888886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99.444444444444443</c:v>
                </c:pt>
                <c:pt idx="13">
                  <c:v>99.375</c:v>
                </c:pt>
                <c:pt idx="14">
                  <c:v>100</c:v>
                </c:pt>
                <c:pt idx="15">
                  <c:v>99.513888888888886</c:v>
                </c:pt>
                <c:pt idx="16">
                  <c:v>99.513888888888886</c:v>
                </c:pt>
                <c:pt idx="17">
                  <c:v>99.375</c:v>
                </c:pt>
                <c:pt idx="18">
                  <c:v>100</c:v>
                </c:pt>
                <c:pt idx="19">
                  <c:v>100</c:v>
                </c:pt>
                <c:pt idx="20">
                  <c:v>99.722222222222229</c:v>
                </c:pt>
                <c:pt idx="21">
                  <c:v>99.861111111111114</c:v>
                </c:pt>
                <c:pt idx="22">
                  <c:v>100</c:v>
                </c:pt>
                <c:pt idx="23">
                  <c:v>99.444444444444443</c:v>
                </c:pt>
                <c:pt idx="24">
                  <c:v>99.305555555555557</c:v>
                </c:pt>
                <c:pt idx="25">
                  <c:v>100</c:v>
                </c:pt>
                <c:pt idx="26">
                  <c:v>100</c:v>
                </c:pt>
                <c:pt idx="27">
                  <c:v>99.930555555555557</c:v>
                </c:pt>
                <c:pt idx="28">
                  <c:v>100</c:v>
                </c:pt>
                <c:pt idx="29">
                  <c:v>100</c:v>
                </c:pt>
                <c:pt idx="30">
                  <c:v>99.722222222222229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08-4E87-BE2A-F8E97B9DE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0873479"/>
        <c:axId val="2040875527"/>
      </c:lineChart>
      <c:dateAx>
        <c:axId val="2040873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875527"/>
        <c:crosses val="autoZero"/>
        <c:auto val="0"/>
        <c:lblOffset val="100"/>
        <c:baseTimeUnit val="days"/>
        <c:majorUnit val="2"/>
        <c:majorTimeUnit val="days"/>
      </c:dateAx>
      <c:valAx>
        <c:axId val="2040875527"/>
        <c:scaling>
          <c:orientation val="minMax"/>
          <c:max val="100"/>
          <c:min val="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Online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87347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518160</xdr:colOff>
      <xdr:row>2</xdr:row>
      <xdr:rowOff>106680</xdr:rowOff>
    </xdr:from>
    <xdr:to>
      <xdr:col>2</xdr:col>
      <xdr:colOff>244828</xdr:colOff>
      <xdr:row>3</xdr:row>
      <xdr:rowOff>42107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2E4C02D-21B5-4BBA-B7B1-7D016BCCC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160" y="335280"/>
          <a:ext cx="542008" cy="842206"/>
        </a:xfrm>
        <a:prstGeom prst="rect">
          <a:avLst/>
        </a:prstGeom>
      </xdr:spPr>
    </xdr:pic>
    <xdr:clientData/>
  </xdr:twoCellAnchor>
  <xdr:twoCellAnchor editAs="oneCell">
    <xdr:from>
      <xdr:col>15</xdr:col>
      <xdr:colOff>396240</xdr:colOff>
      <xdr:row>2</xdr:row>
      <xdr:rowOff>327660</xdr:rowOff>
    </xdr:from>
    <xdr:to>
      <xdr:col>16</xdr:col>
      <xdr:colOff>504316</xdr:colOff>
      <xdr:row>2</xdr:row>
      <xdr:rowOff>588023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1A50019-DBB5-4825-896E-A1C4097A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87200" y="556260"/>
          <a:ext cx="923416" cy="260363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8</xdr:col>
      <xdr:colOff>295275</xdr:colOff>
      <xdr:row>23</xdr:row>
      <xdr:rowOff>190500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B7D6130-7DAF-4623-827D-7B2E9EC291CC}"/>
            </a:ext>
            <a:ext uri="{147F2762-F138-4A5C-976F-8EAC2B608ADB}">
              <a16:predDERef xmlns:a16="http://schemas.microsoft.com/office/drawing/2014/main" pred="{21A50019-DBB5-4825-896E-A1C4097AC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16</xdr:row>
      <xdr:rowOff>0</xdr:rowOff>
    </xdr:from>
    <xdr:to>
      <xdr:col>16</xdr:col>
      <xdr:colOff>438150</xdr:colOff>
      <xdr:row>23</xdr:row>
      <xdr:rowOff>190500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A7FB15E-F073-4200-9504-2FF22F0D8CD0}"/>
            </a:ext>
            <a:ext uri="{147F2762-F138-4A5C-976F-8EAC2B608ADB}">
              <a16:predDERef xmlns:a16="http://schemas.microsoft.com/office/drawing/2014/main" pred="{CB7D6130-7DAF-4623-827D-7B2E9EC291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8</xdr:col>
      <xdr:colOff>295275</xdr:colOff>
      <xdr:row>31</xdr:row>
      <xdr:rowOff>190500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E6EF6CD-3E74-4257-BD4C-5A011F917FB4}"/>
            </a:ext>
            <a:ext uri="{147F2762-F138-4A5C-976F-8EAC2B608ADB}">
              <a16:predDERef xmlns:a16="http://schemas.microsoft.com/office/drawing/2014/main" pred="{BE47DEF6-B15A-AC48-0A66-847074D57E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24</xdr:row>
      <xdr:rowOff>0</xdr:rowOff>
    </xdr:from>
    <xdr:to>
      <xdr:col>16</xdr:col>
      <xdr:colOff>438150</xdr:colOff>
      <xdr:row>31</xdr:row>
      <xdr:rowOff>190500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ED8F7BB-C644-4CE5-BD78-4C215859AE82}"/>
            </a:ext>
            <a:ext uri="{147F2762-F138-4A5C-976F-8EAC2B608ADB}">
              <a16:predDERef xmlns:a16="http://schemas.microsoft.com/office/drawing/2014/main" pred="{4E6EF6CD-3E74-4257-BD4C-5A011F917F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59267</xdr:colOff>
      <xdr:row>18</xdr:row>
      <xdr:rowOff>0</xdr:rowOff>
    </xdr:from>
    <xdr:to>
      <xdr:col>16</xdr:col>
      <xdr:colOff>355796</xdr:colOff>
      <xdr:row>18</xdr:row>
      <xdr:rowOff>18245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65264ECA-B86C-A772-9355-498D5C8BB723}"/>
            </a:ext>
          </a:extLst>
        </xdr:cNvPr>
        <xdr:cNvCxnSpPr/>
      </xdr:nvCxnSpPr>
      <xdr:spPr>
        <a:xfrm>
          <a:off x="7721600" y="6350000"/>
          <a:ext cx="5173329" cy="18245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0.14724</cdr:x>
      <cdr:y>0.27154</cdr:y>
    </cdr:from>
    <cdr:to>
      <cdr:x>0.99134</cdr:x>
      <cdr:y>0.2785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5FCA2076-1222-96D5-E82F-CAD2B7D953C2}"/>
            </a:ext>
          </a:extLst>
        </cdr:cNvPr>
        <cdr:cNvCxnSpPr/>
      </cdr:nvCxnSpPr>
      <cdr:spPr>
        <a:xfrm xmlns:a="http://schemas.openxmlformats.org/drawingml/2006/main">
          <a:off x="905435" y="699247"/>
          <a:ext cx="5190565" cy="17930"/>
        </a:xfrm>
        <a:prstGeom xmlns:a="http://schemas.openxmlformats.org/drawingml/2006/main" prst="line">
          <a:avLst/>
        </a:prstGeom>
        <a:ln xmlns:a="http://schemas.openxmlformats.org/drawingml/2006/main" w="38100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0.15058</cdr:x>
      <cdr:y>0.27464</cdr:y>
    </cdr:from>
    <cdr:to>
      <cdr:x>0.99468</cdr:x>
      <cdr:y>0.2816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65264ECA-B86C-A772-9355-498D5C8BB723}"/>
            </a:ext>
          </a:extLst>
        </cdr:cNvPr>
        <cdr:cNvCxnSpPr/>
      </cdr:nvCxnSpPr>
      <cdr:spPr>
        <a:xfrm xmlns:a="http://schemas.openxmlformats.org/drawingml/2006/main">
          <a:off x="922867" y="719667"/>
          <a:ext cx="5173329" cy="18245"/>
        </a:xfrm>
        <a:prstGeom xmlns:a="http://schemas.openxmlformats.org/drawingml/2006/main" prst="line">
          <a:avLst/>
        </a:prstGeom>
        <a:ln xmlns:a="http://schemas.openxmlformats.org/drawingml/2006/main" w="38100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0.13679</cdr:x>
      <cdr:y>0.27141</cdr:y>
    </cdr:from>
    <cdr:to>
      <cdr:x>0.98103</cdr:x>
      <cdr:y>0.27837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65264ECA-B86C-A772-9355-498D5C8BB723}"/>
            </a:ext>
          </a:extLst>
        </cdr:cNvPr>
        <cdr:cNvCxnSpPr/>
      </cdr:nvCxnSpPr>
      <cdr:spPr>
        <a:xfrm xmlns:a="http://schemas.openxmlformats.org/drawingml/2006/main">
          <a:off x="838200" y="711200"/>
          <a:ext cx="5173329" cy="18245"/>
        </a:xfrm>
        <a:prstGeom xmlns:a="http://schemas.openxmlformats.org/drawingml/2006/main" prst="line">
          <a:avLst/>
        </a:prstGeom>
        <a:ln xmlns:a="http://schemas.openxmlformats.org/drawingml/2006/main" w="38100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B1:X330"/>
  <sheetViews>
    <sheetView showGridLines="0" tabSelected="1" zoomScale="85" zoomScaleNormal="85" zoomScaleSheetLayoutView="70" workbookViewId="0">
      <selection activeCell="S15" sqref="S15"/>
    </sheetView>
  </sheetViews>
  <sheetFormatPr defaultColWidth="9" defaultRowHeight="42" x14ac:dyDescent="0.5"/>
  <cols>
    <col min="1" max="1" width="2.69921875" style="1" customWidth="1"/>
    <col min="2" max="2" width="10.69921875" style="3" customWidth="1"/>
    <col min="3" max="3" width="12.59765625" style="4" bestFit="1" customWidth="1"/>
    <col min="4" max="4" width="10.69921875" style="5" customWidth="1"/>
    <col min="5" max="9" width="10.69921875" style="1" customWidth="1"/>
    <col min="10" max="10" width="10.69921875" style="5" customWidth="1"/>
    <col min="11" max="14" width="10.69921875" style="1" customWidth="1"/>
    <col min="15" max="17" width="10.69921875" style="6" customWidth="1"/>
    <col min="18" max="18" width="5.19921875" style="1" customWidth="1"/>
    <col min="19" max="16384" width="9" style="1"/>
  </cols>
  <sheetData>
    <row r="1" spans="2:24" ht="20.399999999999999" customHeight="1" x14ac:dyDescent="0.5"/>
    <row r="2" spans="2:24" ht="18" x14ac:dyDescent="0.5"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2:24" ht="71.400000000000006" customHeight="1" x14ac:dyDescent="0.5">
      <c r="B3" s="31"/>
      <c r="C3" s="32"/>
      <c r="D3" s="58" t="s">
        <v>0</v>
      </c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33"/>
      <c r="Q3" s="33"/>
      <c r="U3" s="57"/>
      <c r="V3" s="57"/>
      <c r="W3" s="57"/>
      <c r="X3" s="31"/>
    </row>
    <row r="4" spans="2:24" ht="25.2" customHeight="1" x14ac:dyDescent="0.5"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</row>
    <row r="5" spans="2:24" ht="31.95" customHeight="1" x14ac:dyDescent="0.5">
      <c r="B5" s="60" t="s">
        <v>1</v>
      </c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</row>
    <row r="6" spans="2:24" ht="21" x14ac:dyDescent="0.5">
      <c r="B6" s="27" t="s">
        <v>2</v>
      </c>
      <c r="C6" s="28">
        <f ca="1">TODAY()</f>
        <v>46266</v>
      </c>
      <c r="D6" s="21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2:24" ht="21" x14ac:dyDescent="0.5">
      <c r="B7" s="65" t="s">
        <v>3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</row>
    <row r="8" spans="2:24" ht="39.6" customHeight="1" x14ac:dyDescent="0.5">
      <c r="B8" s="62" t="s">
        <v>4</v>
      </c>
      <c r="C8" s="62"/>
      <c r="D8" s="62"/>
      <c r="E8" s="62"/>
      <c r="F8" s="61" t="s">
        <v>5</v>
      </c>
      <c r="G8" s="61"/>
      <c r="H8" s="61"/>
      <c r="I8" s="61"/>
      <c r="J8" s="61" t="s">
        <v>6</v>
      </c>
      <c r="K8" s="61"/>
      <c r="L8" s="61"/>
      <c r="M8" s="61"/>
      <c r="N8" s="64" t="s">
        <v>7</v>
      </c>
      <c r="O8" s="64"/>
      <c r="P8" s="64"/>
      <c r="Q8" s="64"/>
    </row>
    <row r="9" spans="2:24" ht="16.95" customHeight="1" x14ac:dyDescent="0.5">
      <c r="B9" s="63" t="str">
        <f>" สถานะ : "&amp;Overview!$W$3</f>
        <v xml:space="preserve"> สถานะ : ขัดข้อง / Down</v>
      </c>
      <c r="C9" s="63"/>
      <c r="D9" s="63"/>
      <c r="E9" s="63"/>
      <c r="F9" s="63" t="str">
        <f>" สถานะ : "&amp;Overview!$W$4</f>
        <v xml:space="preserve"> สถานะ : ปกติ / Normal</v>
      </c>
      <c r="G9" s="63"/>
      <c r="H9" s="63"/>
      <c r="I9" s="63"/>
      <c r="J9" s="63" t="str">
        <f>" สถานะ : "&amp;Overview!$W$5</f>
        <v xml:space="preserve"> สถานะ : ปกติ / Normal</v>
      </c>
      <c r="K9" s="63"/>
      <c r="L9" s="63"/>
      <c r="M9" s="63"/>
      <c r="N9" s="63" t="str">
        <f>" สถานะ : "&amp;Overview!$W$6</f>
        <v xml:space="preserve"> สถานะ : ปกติ / Normal</v>
      </c>
      <c r="O9" s="63"/>
      <c r="P9" s="63"/>
      <c r="Q9" s="63"/>
    </row>
    <row r="10" spans="2:24" ht="21" x14ac:dyDescent="0.5"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</row>
    <row r="11" spans="2:24" ht="27" customHeight="1" x14ac:dyDescent="0.5">
      <c r="B11" s="53" t="s">
        <v>8</v>
      </c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</row>
    <row r="12" spans="2:24" ht="27" customHeight="1" x14ac:dyDescent="0.5">
      <c r="B12" s="54" t="s">
        <v>9</v>
      </c>
      <c r="C12" s="54"/>
      <c r="D12" s="54"/>
      <c r="E12" s="54"/>
      <c r="F12" s="55" t="s">
        <v>10</v>
      </c>
      <c r="G12" s="56"/>
      <c r="H12" s="56"/>
      <c r="I12" s="56"/>
      <c r="J12" s="54" t="s">
        <v>11</v>
      </c>
      <c r="K12" s="54"/>
      <c r="L12" s="54"/>
      <c r="M12" s="54"/>
      <c r="N12" s="54"/>
      <c r="O12" s="54"/>
      <c r="P12" s="54"/>
      <c r="Q12" s="54"/>
    </row>
    <row r="13" spans="2:24" ht="25.2" customHeight="1" x14ac:dyDescent="0.5">
      <c r="B13" s="50" t="s">
        <v>12</v>
      </c>
      <c r="C13" s="50"/>
      <c r="D13" s="50"/>
      <c r="E13" s="50"/>
      <c r="F13" s="70" t="str">
        <f>IF(COUNTIF(Overview!$W$3:$W$6,"ขัดข้อง / Down")=0,"ปกติ / Normal","มีเหตุขัดข้อง / Down")</f>
        <v>มีเหตุขัดข้อง / Down</v>
      </c>
      <c r="G13" s="71"/>
      <c r="H13" s="71"/>
      <c r="I13" s="71"/>
      <c r="J13" s="50" t="str">
        <f>IF(COUNTIF(Overview!$W$3:$W$5,"Down / ขัดข้อง")=0,"ระบบให้บริการตามปกติ / All systems operate normally","Action required: see system status sheet / มีระบบที่ต้องเร่งตรวจสอบ โปรดดูชีตข้อมูลสถานะระบบ")</f>
        <v>ระบบให้บริการตามปกติ / All systems operate normally</v>
      </c>
      <c r="K13" s="50"/>
      <c r="L13" s="50"/>
      <c r="M13" s="50"/>
      <c r="N13" s="50"/>
      <c r="O13" s="50"/>
      <c r="P13" s="50"/>
      <c r="Q13" s="50"/>
    </row>
    <row r="14" spans="2:24" ht="25.2" customHeight="1" x14ac:dyDescent="0.5">
      <c r="B14" s="50" t="s">
        <v>13</v>
      </c>
      <c r="C14" s="50"/>
      <c r="D14" s="50"/>
      <c r="E14" s="50"/>
      <c r="F14" s="51" t="str">
        <f>COUNTA(Overview!$A$5:$A$20)&amp;" จุด  "</f>
        <v xml:space="preserve">16 จุด  </v>
      </c>
      <c r="G14" s="52"/>
      <c r="H14" s="52"/>
      <c r="I14" s="52"/>
      <c r="J14" s="50" t="s">
        <v>14</v>
      </c>
      <c r="K14" s="50"/>
      <c r="L14" s="50"/>
      <c r="M14" s="50"/>
      <c r="N14" s="50"/>
      <c r="O14" s="50"/>
      <c r="P14" s="50"/>
      <c r="Q14" s="50"/>
    </row>
    <row r="15" spans="2:24" ht="25.2" customHeight="1" x14ac:dyDescent="0.5">
      <c r="B15" s="50" t="s">
        <v>15</v>
      </c>
      <c r="C15" s="50"/>
      <c r="D15" s="50"/>
      <c r="E15" s="50"/>
      <c r="F15" s="51" t="str">
        <f>Overview!$Q21&amp;" รายการ / items"</f>
        <v>0 รายการ / items</v>
      </c>
      <c r="G15" s="52"/>
      <c r="H15" s="52"/>
      <c r="I15" s="52"/>
      <c r="J15" s="50" t="str">
        <f>IF(Overview!$Q21=0,"ไม่มีรายการรอแก้ไข / No pending","มีรายการติดตามในชีตรายละเอียดจุดตรวจสอบ / See Station Details for follow-up")</f>
        <v>ไม่มีรายการรอแก้ไข / No pending</v>
      </c>
      <c r="K15" s="50"/>
      <c r="L15" s="50"/>
      <c r="M15" s="50"/>
      <c r="N15" s="50"/>
      <c r="O15" s="50"/>
      <c r="P15" s="50"/>
      <c r="Q15" s="50"/>
    </row>
    <row r="16" spans="2:24" ht="27" customHeight="1" x14ac:dyDescent="0.6">
      <c r="B16" s="8"/>
      <c r="C16" s="1"/>
      <c r="D16" s="2"/>
      <c r="J16" s="1"/>
      <c r="O16" s="1"/>
      <c r="P16" s="1"/>
      <c r="Q16" s="1"/>
    </row>
    <row r="17" spans="5:5" ht="27" customHeight="1" x14ac:dyDescent="0.5">
      <c r="E17" s="2"/>
    </row>
    <row r="18" spans="5:5" ht="27" customHeight="1" x14ac:dyDescent="0.5"/>
    <row r="19" spans="5:5" ht="27" customHeight="1" x14ac:dyDescent="0.5"/>
    <row r="20" spans="5:5" ht="27" customHeight="1" x14ac:dyDescent="0.5"/>
    <row r="21" spans="5:5" ht="27" customHeight="1" x14ac:dyDescent="0.5"/>
    <row r="22" spans="5:5" ht="27" customHeight="1" x14ac:dyDescent="0.5"/>
    <row r="23" spans="5:5" ht="27" customHeight="1" x14ac:dyDescent="0.5"/>
    <row r="24" spans="5:5" ht="27" customHeight="1" x14ac:dyDescent="0.5"/>
    <row r="25" spans="5:5" ht="27" customHeight="1" x14ac:dyDescent="0.5"/>
    <row r="26" spans="5:5" ht="27" customHeight="1" x14ac:dyDescent="0.5"/>
    <row r="27" spans="5:5" ht="27" customHeight="1" x14ac:dyDescent="0.5"/>
    <row r="28" spans="5:5" ht="27" customHeight="1" x14ac:dyDescent="0.5"/>
    <row r="29" spans="5:5" ht="27" customHeight="1" x14ac:dyDescent="0.5"/>
    <row r="30" spans="5:5" ht="27" customHeight="1" x14ac:dyDescent="0.5"/>
    <row r="31" spans="5:5" ht="27" customHeight="1" x14ac:dyDescent="0.5"/>
    <row r="32" spans="5:5" ht="27" customHeight="1" x14ac:dyDescent="0.5"/>
    <row r="33" ht="27" customHeight="1" x14ac:dyDescent="0.5"/>
    <row r="34" ht="27" customHeight="1" x14ac:dyDescent="0.5"/>
    <row r="35" ht="27" customHeight="1" x14ac:dyDescent="0.5"/>
    <row r="36" ht="27" customHeight="1" x14ac:dyDescent="0.5"/>
    <row r="37" ht="27" customHeight="1" x14ac:dyDescent="0.5"/>
    <row r="38" ht="27" customHeight="1" x14ac:dyDescent="0.5"/>
    <row r="39" ht="27" customHeight="1" x14ac:dyDescent="0.5"/>
    <row r="40" ht="27" customHeight="1" x14ac:dyDescent="0.5"/>
    <row r="41" ht="27" customHeight="1" x14ac:dyDescent="0.5"/>
    <row r="42" ht="27" customHeight="1" x14ac:dyDescent="0.5"/>
    <row r="43" ht="27" customHeight="1" x14ac:dyDescent="0.5"/>
    <row r="44" ht="27" customHeight="1" x14ac:dyDescent="0.5"/>
    <row r="45" ht="27" customHeight="1" x14ac:dyDescent="0.5"/>
    <row r="46" ht="27" customHeight="1" x14ac:dyDescent="0.5"/>
    <row r="47" ht="27" customHeight="1" x14ac:dyDescent="0.5"/>
    <row r="48" ht="27" customHeight="1" x14ac:dyDescent="0.5"/>
    <row r="49" ht="27" customHeight="1" x14ac:dyDescent="0.5"/>
    <row r="50" ht="27" customHeight="1" x14ac:dyDescent="0.5"/>
    <row r="51" ht="27" customHeight="1" x14ac:dyDescent="0.5"/>
    <row r="52" ht="27" customHeight="1" x14ac:dyDescent="0.5"/>
    <row r="53" ht="27" customHeight="1" x14ac:dyDescent="0.5"/>
    <row r="54" ht="27" customHeight="1" x14ac:dyDescent="0.5"/>
    <row r="55" ht="27" customHeight="1" x14ac:dyDescent="0.5"/>
    <row r="56" ht="27" customHeight="1" x14ac:dyDescent="0.5"/>
    <row r="57" ht="27" customHeight="1" x14ac:dyDescent="0.5"/>
    <row r="58" ht="27" customHeight="1" x14ac:dyDescent="0.5"/>
    <row r="59" ht="27" customHeight="1" x14ac:dyDescent="0.5"/>
    <row r="60" ht="27" customHeight="1" x14ac:dyDescent="0.5"/>
    <row r="61" ht="27" customHeight="1" x14ac:dyDescent="0.5"/>
    <row r="62" ht="27" customHeight="1" x14ac:dyDescent="0.5"/>
    <row r="63" ht="27" customHeight="1" x14ac:dyDescent="0.5"/>
    <row r="64" ht="27" customHeight="1" x14ac:dyDescent="0.5"/>
    <row r="65" ht="27" customHeight="1" x14ac:dyDescent="0.5"/>
    <row r="66" ht="27" customHeight="1" x14ac:dyDescent="0.5"/>
    <row r="67" ht="27" customHeight="1" x14ac:dyDescent="0.5"/>
    <row r="68" ht="27" customHeight="1" x14ac:dyDescent="0.5"/>
    <row r="69" ht="27" customHeight="1" x14ac:dyDescent="0.5"/>
    <row r="70" ht="27" customHeight="1" x14ac:dyDescent="0.5"/>
    <row r="71" ht="27" customHeight="1" x14ac:dyDescent="0.5"/>
    <row r="72" ht="27" customHeight="1" x14ac:dyDescent="0.5"/>
    <row r="73" ht="27" customHeight="1" x14ac:dyDescent="0.5"/>
    <row r="74" ht="27" customHeight="1" x14ac:dyDescent="0.5"/>
    <row r="75" ht="27" customHeight="1" x14ac:dyDescent="0.5"/>
    <row r="76" ht="27" customHeight="1" x14ac:dyDescent="0.5"/>
    <row r="77" ht="27" customHeight="1" x14ac:dyDescent="0.5"/>
    <row r="78" ht="27" customHeight="1" x14ac:dyDescent="0.5"/>
    <row r="79" ht="27" customHeight="1" x14ac:dyDescent="0.5"/>
    <row r="80" ht="27" customHeight="1" x14ac:dyDescent="0.5"/>
    <row r="81" ht="27" customHeight="1" x14ac:dyDescent="0.5"/>
    <row r="82" ht="27" customHeight="1" x14ac:dyDescent="0.5"/>
    <row r="83" ht="27" customHeight="1" x14ac:dyDescent="0.5"/>
    <row r="84" ht="27" customHeight="1" x14ac:dyDescent="0.5"/>
    <row r="85" ht="27" customHeight="1" x14ac:dyDescent="0.5"/>
    <row r="86" ht="27" customHeight="1" x14ac:dyDescent="0.5"/>
    <row r="87" ht="27" customHeight="1" x14ac:dyDescent="0.5"/>
    <row r="88" ht="27" customHeight="1" x14ac:dyDescent="0.5"/>
    <row r="89" ht="27" customHeight="1" x14ac:dyDescent="0.5"/>
    <row r="90" ht="27" customHeight="1" x14ac:dyDescent="0.5"/>
    <row r="91" ht="27" customHeight="1" x14ac:dyDescent="0.5"/>
    <row r="92" ht="27" customHeight="1" x14ac:dyDescent="0.5"/>
    <row r="93" ht="27" customHeight="1" x14ac:dyDescent="0.5"/>
    <row r="94" ht="27" customHeight="1" x14ac:dyDescent="0.5"/>
    <row r="95" ht="27" customHeight="1" x14ac:dyDescent="0.5"/>
    <row r="96" ht="27" customHeight="1" x14ac:dyDescent="0.5"/>
    <row r="97" ht="27" customHeight="1" x14ac:dyDescent="0.5"/>
    <row r="98" ht="27" customHeight="1" x14ac:dyDescent="0.5"/>
    <row r="99" ht="27" customHeight="1" x14ac:dyDescent="0.5"/>
    <row r="100" ht="27" customHeight="1" x14ac:dyDescent="0.5"/>
    <row r="101" ht="27" customHeight="1" x14ac:dyDescent="0.5"/>
    <row r="102" ht="27" customHeight="1" x14ac:dyDescent="0.5"/>
    <row r="103" ht="27" customHeight="1" x14ac:dyDescent="0.5"/>
    <row r="104" ht="27" customHeight="1" x14ac:dyDescent="0.5"/>
    <row r="105" ht="27" customHeight="1" x14ac:dyDescent="0.5"/>
    <row r="106" ht="27" customHeight="1" x14ac:dyDescent="0.5"/>
    <row r="107" ht="27" customHeight="1" x14ac:dyDescent="0.5"/>
    <row r="108" ht="27" customHeight="1" x14ac:dyDescent="0.5"/>
    <row r="109" ht="27" customHeight="1" x14ac:dyDescent="0.5"/>
    <row r="110" ht="27" customHeight="1" x14ac:dyDescent="0.5"/>
    <row r="111" ht="27" customHeight="1" x14ac:dyDescent="0.5"/>
    <row r="112" ht="27" customHeight="1" x14ac:dyDescent="0.5"/>
    <row r="113" ht="27" customHeight="1" x14ac:dyDescent="0.5"/>
    <row r="114" ht="27" customHeight="1" x14ac:dyDescent="0.5"/>
    <row r="115" ht="27" customHeight="1" x14ac:dyDescent="0.5"/>
    <row r="116" ht="27" customHeight="1" x14ac:dyDescent="0.5"/>
    <row r="117" ht="27" customHeight="1" x14ac:dyDescent="0.5"/>
    <row r="118" ht="27" customHeight="1" x14ac:dyDescent="0.5"/>
    <row r="119" ht="27" customHeight="1" x14ac:dyDescent="0.5"/>
    <row r="120" ht="27" customHeight="1" x14ac:dyDescent="0.5"/>
    <row r="121" ht="27" customHeight="1" x14ac:dyDescent="0.5"/>
    <row r="122" ht="27" customHeight="1" x14ac:dyDescent="0.5"/>
    <row r="123" ht="27" customHeight="1" x14ac:dyDescent="0.5"/>
    <row r="124" ht="27" customHeight="1" x14ac:dyDescent="0.5"/>
    <row r="125" ht="27" customHeight="1" x14ac:dyDescent="0.5"/>
    <row r="126" ht="27" customHeight="1" x14ac:dyDescent="0.5"/>
    <row r="127" ht="27" customHeight="1" x14ac:dyDescent="0.5"/>
    <row r="128" ht="27" customHeight="1" x14ac:dyDescent="0.5"/>
    <row r="129" ht="27" customHeight="1" x14ac:dyDescent="0.5"/>
    <row r="130" ht="27" customHeight="1" x14ac:dyDescent="0.5"/>
    <row r="131" ht="27" customHeight="1" x14ac:dyDescent="0.5"/>
    <row r="132" ht="27" customHeight="1" x14ac:dyDescent="0.5"/>
    <row r="133" ht="27" customHeight="1" x14ac:dyDescent="0.5"/>
    <row r="134" ht="27" customHeight="1" x14ac:dyDescent="0.5"/>
    <row r="135" ht="27" customHeight="1" x14ac:dyDescent="0.5"/>
    <row r="136" ht="27" customHeight="1" x14ac:dyDescent="0.5"/>
    <row r="137" ht="27" customHeight="1" x14ac:dyDescent="0.5"/>
    <row r="138" ht="27" customHeight="1" x14ac:dyDescent="0.5"/>
    <row r="139" ht="27" customHeight="1" x14ac:dyDescent="0.5"/>
    <row r="140" ht="27" customHeight="1" x14ac:dyDescent="0.5"/>
    <row r="141" ht="27" customHeight="1" x14ac:dyDescent="0.5"/>
    <row r="142" ht="27" customHeight="1" x14ac:dyDescent="0.5"/>
    <row r="143" ht="27" customHeight="1" x14ac:dyDescent="0.5"/>
    <row r="144" ht="27" customHeight="1" x14ac:dyDescent="0.5"/>
    <row r="145" ht="27" customHeight="1" x14ac:dyDescent="0.5"/>
    <row r="146" ht="27" customHeight="1" x14ac:dyDescent="0.5"/>
    <row r="147" ht="27" customHeight="1" x14ac:dyDescent="0.5"/>
    <row r="148" ht="27" customHeight="1" x14ac:dyDescent="0.5"/>
    <row r="149" ht="27" customHeight="1" x14ac:dyDescent="0.5"/>
    <row r="150" ht="27" customHeight="1" x14ac:dyDescent="0.5"/>
    <row r="151" ht="27" customHeight="1" x14ac:dyDescent="0.5"/>
    <row r="152" ht="27" customHeight="1" x14ac:dyDescent="0.5"/>
    <row r="153" ht="27" customHeight="1" x14ac:dyDescent="0.5"/>
    <row r="154" ht="27" customHeight="1" x14ac:dyDescent="0.5"/>
    <row r="155" ht="27" customHeight="1" x14ac:dyDescent="0.5"/>
    <row r="156" ht="27" customHeight="1" x14ac:dyDescent="0.5"/>
    <row r="157" ht="27" customHeight="1" x14ac:dyDescent="0.5"/>
    <row r="158" ht="27" customHeight="1" x14ac:dyDescent="0.5"/>
    <row r="159" ht="27" customHeight="1" x14ac:dyDescent="0.5"/>
    <row r="160" ht="27" customHeight="1" x14ac:dyDescent="0.5"/>
    <row r="161" ht="27" customHeight="1" x14ac:dyDescent="0.5"/>
    <row r="162" ht="27" customHeight="1" x14ac:dyDescent="0.5"/>
    <row r="163" ht="27" customHeight="1" x14ac:dyDescent="0.5"/>
    <row r="164" ht="27" customHeight="1" x14ac:dyDescent="0.5"/>
    <row r="165" ht="27" customHeight="1" x14ac:dyDescent="0.5"/>
    <row r="166" ht="27" customHeight="1" x14ac:dyDescent="0.5"/>
    <row r="167" ht="27" customHeight="1" x14ac:dyDescent="0.5"/>
    <row r="168" ht="27" customHeight="1" x14ac:dyDescent="0.5"/>
    <row r="169" ht="27" customHeight="1" x14ac:dyDescent="0.5"/>
    <row r="170" ht="27" customHeight="1" x14ac:dyDescent="0.5"/>
    <row r="171" ht="27" customHeight="1" x14ac:dyDescent="0.5"/>
    <row r="172" ht="27" customHeight="1" x14ac:dyDescent="0.5"/>
    <row r="173" ht="27" customHeight="1" x14ac:dyDescent="0.5"/>
    <row r="174" ht="27" customHeight="1" x14ac:dyDescent="0.5"/>
    <row r="175" ht="27" customHeight="1" x14ac:dyDescent="0.5"/>
    <row r="176" ht="27" customHeight="1" x14ac:dyDescent="0.5"/>
    <row r="177" ht="27" customHeight="1" x14ac:dyDescent="0.5"/>
    <row r="178" ht="27" customHeight="1" x14ac:dyDescent="0.5"/>
    <row r="179" ht="27" customHeight="1" x14ac:dyDescent="0.5"/>
    <row r="180" ht="27" customHeight="1" x14ac:dyDescent="0.5"/>
    <row r="181" ht="27" customHeight="1" x14ac:dyDescent="0.5"/>
    <row r="182" ht="27" customHeight="1" x14ac:dyDescent="0.5"/>
    <row r="183" ht="27" customHeight="1" x14ac:dyDescent="0.5"/>
    <row r="184" ht="27" customHeight="1" x14ac:dyDescent="0.5"/>
    <row r="185" ht="27" customHeight="1" x14ac:dyDescent="0.5"/>
    <row r="186" ht="27" customHeight="1" x14ac:dyDescent="0.5"/>
    <row r="187" ht="27" customHeight="1" x14ac:dyDescent="0.5"/>
    <row r="188" ht="27" customHeight="1" x14ac:dyDescent="0.5"/>
    <row r="189" ht="27" customHeight="1" x14ac:dyDescent="0.5"/>
    <row r="190" ht="27" customHeight="1" x14ac:dyDescent="0.5"/>
    <row r="191" ht="27" customHeight="1" x14ac:dyDescent="0.5"/>
    <row r="192" ht="27" customHeight="1" x14ac:dyDescent="0.5"/>
    <row r="193" ht="27" customHeight="1" x14ac:dyDescent="0.5"/>
    <row r="194" ht="27" customHeight="1" x14ac:dyDescent="0.5"/>
    <row r="195" ht="27" customHeight="1" x14ac:dyDescent="0.5"/>
    <row r="196" ht="27" customHeight="1" x14ac:dyDescent="0.5"/>
    <row r="197" ht="27" customHeight="1" x14ac:dyDescent="0.5"/>
    <row r="198" ht="27" customHeight="1" x14ac:dyDescent="0.5"/>
    <row r="199" ht="27" customHeight="1" x14ac:dyDescent="0.5"/>
    <row r="200" ht="27" customHeight="1" x14ac:dyDescent="0.5"/>
    <row r="201" ht="27" customHeight="1" x14ac:dyDescent="0.5"/>
    <row r="202" ht="27" customHeight="1" x14ac:dyDescent="0.5"/>
    <row r="203" ht="27" customHeight="1" x14ac:dyDescent="0.5"/>
    <row r="204" ht="27" customHeight="1" x14ac:dyDescent="0.5"/>
    <row r="205" ht="27" customHeight="1" x14ac:dyDescent="0.5"/>
    <row r="206" ht="27" customHeight="1" x14ac:dyDescent="0.5"/>
    <row r="207" ht="27" customHeight="1" x14ac:dyDescent="0.5"/>
    <row r="208" ht="27" customHeight="1" x14ac:dyDescent="0.5"/>
    <row r="209" ht="27" customHeight="1" x14ac:dyDescent="0.5"/>
    <row r="210" ht="27" customHeight="1" x14ac:dyDescent="0.5"/>
    <row r="211" ht="27" customHeight="1" x14ac:dyDescent="0.5"/>
    <row r="212" ht="27" customHeight="1" x14ac:dyDescent="0.5"/>
    <row r="213" ht="27" customHeight="1" x14ac:dyDescent="0.5"/>
    <row r="214" ht="27" customHeight="1" x14ac:dyDescent="0.5"/>
    <row r="215" ht="27" customHeight="1" x14ac:dyDescent="0.5"/>
    <row r="216" ht="27" customHeight="1" x14ac:dyDescent="0.5"/>
    <row r="217" ht="27" customHeight="1" x14ac:dyDescent="0.5"/>
    <row r="218" ht="27" customHeight="1" x14ac:dyDescent="0.5"/>
    <row r="219" ht="27" customHeight="1" x14ac:dyDescent="0.5"/>
    <row r="220" ht="27" customHeight="1" x14ac:dyDescent="0.5"/>
    <row r="221" ht="27" customHeight="1" x14ac:dyDescent="0.5"/>
    <row r="222" ht="27" customHeight="1" x14ac:dyDescent="0.5"/>
    <row r="223" ht="27" customHeight="1" x14ac:dyDescent="0.5"/>
    <row r="224" ht="27" customHeight="1" x14ac:dyDescent="0.5"/>
    <row r="225" ht="27" customHeight="1" x14ac:dyDescent="0.5"/>
    <row r="226" ht="27" customHeight="1" x14ac:dyDescent="0.5"/>
    <row r="227" ht="27" customHeight="1" x14ac:dyDescent="0.5"/>
    <row r="228" ht="27" customHeight="1" x14ac:dyDescent="0.5"/>
    <row r="229" ht="27" customHeight="1" x14ac:dyDescent="0.5"/>
    <row r="230" ht="27" customHeight="1" x14ac:dyDescent="0.5"/>
    <row r="231" ht="27" customHeight="1" x14ac:dyDescent="0.5"/>
    <row r="232" ht="27" customHeight="1" x14ac:dyDescent="0.5"/>
    <row r="233" ht="27" customHeight="1" x14ac:dyDescent="0.5"/>
    <row r="234" ht="27" customHeight="1" x14ac:dyDescent="0.5"/>
    <row r="235" ht="27" customHeight="1" x14ac:dyDescent="0.5"/>
    <row r="236" ht="27" customHeight="1" x14ac:dyDescent="0.5"/>
    <row r="237" ht="27" customHeight="1" x14ac:dyDescent="0.5"/>
    <row r="238" ht="27" customHeight="1" x14ac:dyDescent="0.5"/>
    <row r="239" ht="27" customHeight="1" x14ac:dyDescent="0.5"/>
    <row r="240" ht="27" customHeight="1" x14ac:dyDescent="0.5"/>
    <row r="241" ht="27" customHeight="1" x14ac:dyDescent="0.5"/>
    <row r="242" ht="27" customHeight="1" x14ac:dyDescent="0.5"/>
    <row r="243" ht="27" customHeight="1" x14ac:dyDescent="0.5"/>
    <row r="244" ht="27" customHeight="1" x14ac:dyDescent="0.5"/>
    <row r="245" ht="27" customHeight="1" x14ac:dyDescent="0.5"/>
    <row r="246" ht="27" customHeight="1" x14ac:dyDescent="0.5"/>
    <row r="247" ht="27" customHeight="1" x14ac:dyDescent="0.5"/>
    <row r="248" ht="27" customHeight="1" x14ac:dyDescent="0.5"/>
    <row r="249" ht="27" customHeight="1" x14ac:dyDescent="0.5"/>
    <row r="250" ht="27" customHeight="1" x14ac:dyDescent="0.5"/>
    <row r="251" ht="27" customHeight="1" x14ac:dyDescent="0.5"/>
    <row r="252" ht="27" customHeight="1" x14ac:dyDescent="0.5"/>
    <row r="253" ht="27" customHeight="1" x14ac:dyDescent="0.5"/>
    <row r="254" ht="27" customHeight="1" x14ac:dyDescent="0.5"/>
    <row r="255" ht="27" customHeight="1" x14ac:dyDescent="0.5"/>
    <row r="256" ht="27" customHeight="1" x14ac:dyDescent="0.5"/>
    <row r="257" ht="27" customHeight="1" x14ac:dyDescent="0.5"/>
    <row r="258" ht="27" customHeight="1" x14ac:dyDescent="0.5"/>
    <row r="259" ht="27" customHeight="1" x14ac:dyDescent="0.5"/>
    <row r="260" ht="27" customHeight="1" x14ac:dyDescent="0.5"/>
    <row r="261" ht="27" customHeight="1" x14ac:dyDescent="0.5"/>
    <row r="262" ht="27" customHeight="1" x14ac:dyDescent="0.5"/>
    <row r="263" ht="27" customHeight="1" x14ac:dyDescent="0.5"/>
    <row r="264" ht="27" customHeight="1" x14ac:dyDescent="0.5"/>
    <row r="265" ht="27" customHeight="1" x14ac:dyDescent="0.5"/>
    <row r="266" ht="27" customHeight="1" x14ac:dyDescent="0.5"/>
    <row r="267" ht="27" customHeight="1" x14ac:dyDescent="0.5"/>
    <row r="268" ht="27" customHeight="1" x14ac:dyDescent="0.5"/>
    <row r="269" ht="27" customHeight="1" x14ac:dyDescent="0.5"/>
    <row r="270" ht="27" customHeight="1" x14ac:dyDescent="0.5"/>
    <row r="271" ht="27" customHeight="1" x14ac:dyDescent="0.5"/>
    <row r="272" ht="27" customHeight="1" x14ac:dyDescent="0.5"/>
    <row r="273" ht="27" customHeight="1" x14ac:dyDescent="0.5"/>
    <row r="274" ht="27" customHeight="1" x14ac:dyDescent="0.5"/>
    <row r="275" ht="27" customHeight="1" x14ac:dyDescent="0.5"/>
    <row r="276" ht="27" customHeight="1" x14ac:dyDescent="0.5"/>
    <row r="277" ht="27" customHeight="1" x14ac:dyDescent="0.5"/>
    <row r="278" ht="27" customHeight="1" x14ac:dyDescent="0.5"/>
    <row r="279" ht="27" customHeight="1" x14ac:dyDescent="0.5"/>
    <row r="280" ht="27" customHeight="1" x14ac:dyDescent="0.5"/>
    <row r="281" ht="27" customHeight="1" x14ac:dyDescent="0.5"/>
    <row r="282" ht="27" customHeight="1" x14ac:dyDescent="0.5"/>
    <row r="283" ht="27" customHeight="1" x14ac:dyDescent="0.5"/>
    <row r="284" ht="27" customHeight="1" x14ac:dyDescent="0.5"/>
    <row r="285" ht="27" customHeight="1" x14ac:dyDescent="0.5"/>
    <row r="286" ht="27" customHeight="1" x14ac:dyDescent="0.5"/>
    <row r="287" ht="27" customHeight="1" x14ac:dyDescent="0.5"/>
    <row r="288" ht="27" customHeight="1" x14ac:dyDescent="0.5"/>
    <row r="289" ht="27" customHeight="1" x14ac:dyDescent="0.5"/>
    <row r="290" ht="27" customHeight="1" x14ac:dyDescent="0.5"/>
    <row r="291" ht="27" customHeight="1" x14ac:dyDescent="0.5"/>
    <row r="292" ht="27" customHeight="1" x14ac:dyDescent="0.5"/>
    <row r="293" ht="27" customHeight="1" x14ac:dyDescent="0.5"/>
    <row r="294" ht="27" customHeight="1" x14ac:dyDescent="0.5"/>
    <row r="295" ht="27" customHeight="1" x14ac:dyDescent="0.5"/>
    <row r="296" ht="27" customHeight="1" x14ac:dyDescent="0.5"/>
    <row r="297" ht="27" customHeight="1" x14ac:dyDescent="0.5"/>
    <row r="298" ht="27" customHeight="1" x14ac:dyDescent="0.5"/>
    <row r="299" ht="27" customHeight="1" x14ac:dyDescent="0.5"/>
    <row r="300" ht="27" customHeight="1" x14ac:dyDescent="0.5"/>
    <row r="301" ht="27" customHeight="1" x14ac:dyDescent="0.5"/>
    <row r="302" ht="27" customHeight="1" x14ac:dyDescent="0.5"/>
    <row r="303" ht="27" customHeight="1" x14ac:dyDescent="0.5"/>
    <row r="304" ht="27" customHeight="1" x14ac:dyDescent="0.5"/>
    <row r="305" ht="27" customHeight="1" x14ac:dyDescent="0.5"/>
    <row r="306" ht="27" customHeight="1" x14ac:dyDescent="0.5"/>
    <row r="307" ht="27" customHeight="1" x14ac:dyDescent="0.5"/>
    <row r="308" ht="27" customHeight="1" x14ac:dyDescent="0.5"/>
    <row r="309" ht="27" customHeight="1" x14ac:dyDescent="0.5"/>
    <row r="310" ht="27" customHeight="1" x14ac:dyDescent="0.5"/>
    <row r="311" ht="27" customHeight="1" x14ac:dyDescent="0.5"/>
    <row r="312" ht="27" customHeight="1" x14ac:dyDescent="0.5"/>
    <row r="313" ht="27" customHeight="1" x14ac:dyDescent="0.5"/>
    <row r="314" ht="27" customHeight="1" x14ac:dyDescent="0.5"/>
    <row r="315" ht="27" customHeight="1" x14ac:dyDescent="0.5"/>
    <row r="316" ht="27" customHeight="1" x14ac:dyDescent="0.5"/>
    <row r="317" ht="27" customHeight="1" x14ac:dyDescent="0.5"/>
    <row r="318" ht="27" customHeight="1" x14ac:dyDescent="0.5"/>
    <row r="319" ht="27" customHeight="1" x14ac:dyDescent="0.5"/>
    <row r="320" ht="27" customHeight="1" x14ac:dyDescent="0.5"/>
    <row r="321" ht="27" customHeight="1" x14ac:dyDescent="0.5"/>
    <row r="322" ht="27" customHeight="1" x14ac:dyDescent="0.5"/>
    <row r="323" ht="27" customHeight="1" x14ac:dyDescent="0.5"/>
    <row r="324" ht="27" customHeight="1" x14ac:dyDescent="0.5"/>
    <row r="325" ht="27" customHeight="1" x14ac:dyDescent="0.5"/>
    <row r="326" ht="27" customHeight="1" x14ac:dyDescent="0.5"/>
    <row r="327" ht="27" customHeight="1" x14ac:dyDescent="0.5"/>
    <row r="328" ht="27" customHeight="1" x14ac:dyDescent="0.5"/>
    <row r="329" ht="27" customHeight="1" x14ac:dyDescent="0.5"/>
    <row r="330" ht="27" customHeight="1" x14ac:dyDescent="0.5"/>
  </sheetData>
  <mergeCells count="26">
    <mergeCell ref="U3:W3"/>
    <mergeCell ref="D3:O3"/>
    <mergeCell ref="B4:Q4"/>
    <mergeCell ref="B14:E14"/>
    <mergeCell ref="F14:I14"/>
    <mergeCell ref="J14:Q14"/>
    <mergeCell ref="B5:Q5"/>
    <mergeCell ref="F8:I8"/>
    <mergeCell ref="B8:E8"/>
    <mergeCell ref="J8:M8"/>
    <mergeCell ref="B9:E9"/>
    <mergeCell ref="F9:I9"/>
    <mergeCell ref="J9:M9"/>
    <mergeCell ref="N8:Q8"/>
    <mergeCell ref="N9:Q9"/>
    <mergeCell ref="B7:Q7"/>
    <mergeCell ref="B15:E15"/>
    <mergeCell ref="F15:I15"/>
    <mergeCell ref="J15:Q15"/>
    <mergeCell ref="B11:Q11"/>
    <mergeCell ref="B12:E12"/>
    <mergeCell ref="F12:I12"/>
    <mergeCell ref="J12:Q12"/>
    <mergeCell ref="B13:E13"/>
    <mergeCell ref="F13:I13"/>
    <mergeCell ref="J13:Q13"/>
  </mergeCells>
  <conditionalFormatting sqref="B7:B10">
    <cfRule type="duplicateValues" dxfId="8" priority="34"/>
  </conditionalFormatting>
  <conditionalFormatting sqref="F13:I13">
    <cfRule type="containsText" dxfId="7" priority="2" operator="containsText" text="Normal"/>
    <cfRule type="containsText" dxfId="6" priority="3" operator="containsText" text="Down"/>
  </conditionalFormatting>
  <pageMargins left="0.7" right="0.7" top="0.75" bottom="0.75" header="0.3" footer="0.3"/>
  <pageSetup paperSize="9" scale="6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1"/>
  <sheetViews>
    <sheetView showGridLines="0" zoomScale="85" zoomScaleNormal="85" workbookViewId="0">
      <selection activeCell="X3" sqref="X3"/>
    </sheetView>
  </sheetViews>
  <sheetFormatPr defaultRowHeight="13.8" x14ac:dyDescent="0.25"/>
  <cols>
    <col min="1" max="1" width="12" customWidth="1"/>
    <col min="2" max="2" width="23" customWidth="1"/>
    <col min="3" max="16" width="10" customWidth="1"/>
    <col min="17" max="17" width="18" customWidth="1"/>
    <col min="18" max="18" width="22" customWidth="1"/>
    <col min="20" max="20" width="11" customWidth="1"/>
    <col min="21" max="21" width="12.59765625" bestFit="1" customWidth="1"/>
    <col min="22" max="22" width="52.59765625" bestFit="1" customWidth="1"/>
    <col min="23" max="23" width="12.5" bestFit="1" customWidth="1"/>
    <col min="24" max="24" width="53.19921875" bestFit="1" customWidth="1"/>
    <col min="25" max="25" width="20.09765625" bestFit="1" customWidth="1"/>
  </cols>
  <sheetData>
    <row r="1" spans="1:25" ht="28.2" customHeight="1" x14ac:dyDescent="0.25">
      <c r="A1" s="60" t="s">
        <v>16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T1" s="9" t="s">
        <v>17</v>
      </c>
      <c r="U1" s="9"/>
      <c r="V1" s="9"/>
      <c r="W1" s="60"/>
      <c r="X1" s="60"/>
      <c r="Y1" s="10"/>
    </row>
    <row r="2" spans="1:25" ht="25.95" customHeight="1" x14ac:dyDescent="0.25">
      <c r="A2" s="35" t="s">
        <v>18</v>
      </c>
      <c r="B2" s="35" t="s">
        <v>19</v>
      </c>
      <c r="C2" s="16" t="s">
        <v>20</v>
      </c>
      <c r="D2" s="67" t="s">
        <v>21</v>
      </c>
      <c r="E2" s="68"/>
      <c r="F2" s="68"/>
      <c r="G2" s="69"/>
      <c r="H2" s="66" t="s">
        <v>22</v>
      </c>
      <c r="I2" s="66"/>
      <c r="J2" s="66"/>
      <c r="K2" s="67" t="s">
        <v>23</v>
      </c>
      <c r="L2" s="68"/>
      <c r="M2" s="67" t="s">
        <v>24</v>
      </c>
      <c r="N2" s="68"/>
      <c r="O2" s="66" t="s">
        <v>25</v>
      </c>
      <c r="P2" s="66"/>
      <c r="Q2" s="15" t="s">
        <v>26</v>
      </c>
      <c r="R2" s="15" t="s">
        <v>27</v>
      </c>
      <c r="T2" s="11" t="s">
        <v>28</v>
      </c>
      <c r="U2" s="11" t="s">
        <v>29</v>
      </c>
      <c r="V2" s="11" t="s">
        <v>30</v>
      </c>
      <c r="W2" s="11" t="s">
        <v>31</v>
      </c>
      <c r="X2" s="11" t="s">
        <v>32</v>
      </c>
      <c r="Y2" s="11" t="s">
        <v>33</v>
      </c>
    </row>
    <row r="3" spans="1:25" ht="25.95" customHeight="1" x14ac:dyDescent="0.25">
      <c r="A3" s="15"/>
      <c r="B3" s="15"/>
      <c r="C3" s="16" t="s">
        <v>34</v>
      </c>
      <c r="D3" s="16" t="s">
        <v>35</v>
      </c>
      <c r="E3" s="16" t="s">
        <v>36</v>
      </c>
      <c r="F3" s="16" t="s">
        <v>37</v>
      </c>
      <c r="G3" s="16" t="s">
        <v>38</v>
      </c>
      <c r="H3" s="16" t="s">
        <v>39</v>
      </c>
      <c r="I3" s="16" t="s">
        <v>40</v>
      </c>
      <c r="J3" s="16" t="s">
        <v>38</v>
      </c>
      <c r="K3" s="16" t="s">
        <v>41</v>
      </c>
      <c r="L3" s="16" t="s">
        <v>38</v>
      </c>
      <c r="M3" s="16" t="s">
        <v>41</v>
      </c>
      <c r="N3" s="16" t="s">
        <v>38</v>
      </c>
      <c r="O3" s="16" t="s">
        <v>41</v>
      </c>
      <c r="P3" s="16" t="s">
        <v>38</v>
      </c>
      <c r="Q3" s="15"/>
      <c r="R3" s="15"/>
      <c r="T3" s="12">
        <v>1</v>
      </c>
      <c r="U3" s="14" t="s">
        <v>42</v>
      </c>
      <c r="V3" s="13" t="s">
        <v>43</v>
      </c>
      <c r="W3" s="12" t="s">
        <v>80</v>
      </c>
      <c r="X3" s="13" t="s">
        <v>45</v>
      </c>
      <c r="Y3" s="22"/>
    </row>
    <row r="4" spans="1:25" ht="21" x14ac:dyDescent="0.6">
      <c r="A4" s="17">
        <f>SUBTOTAL(3,A5:A20)</f>
        <v>16</v>
      </c>
      <c r="B4" s="18">
        <f>SUBTOTAL(3,B5:B30)</f>
        <v>16</v>
      </c>
      <c r="C4" s="18">
        <f>SUBTOTAL(2,C5:C30)</f>
        <v>0</v>
      </c>
      <c r="D4" s="18">
        <f t="shared" ref="D4:P4" si="0">SUBTOTAL(2,D5:D30)</f>
        <v>0</v>
      </c>
      <c r="E4" s="18">
        <f t="shared" si="0"/>
        <v>0</v>
      </c>
      <c r="F4" s="18">
        <f t="shared" si="0"/>
        <v>0</v>
      </c>
      <c r="G4" s="18">
        <f t="shared" si="0"/>
        <v>0</v>
      </c>
      <c r="H4" s="18">
        <f t="shared" si="0"/>
        <v>0</v>
      </c>
      <c r="I4" s="18">
        <f t="shared" si="0"/>
        <v>0</v>
      </c>
      <c r="J4" s="18">
        <f t="shared" si="0"/>
        <v>0</v>
      </c>
      <c r="K4" s="18">
        <f t="shared" si="0"/>
        <v>0</v>
      </c>
      <c r="L4" s="18">
        <f t="shared" si="0"/>
        <v>0</v>
      </c>
      <c r="M4" s="18">
        <f t="shared" si="0"/>
        <v>0</v>
      </c>
      <c r="N4" s="18">
        <f t="shared" si="0"/>
        <v>0</v>
      </c>
      <c r="O4" s="18">
        <f t="shared" si="0"/>
        <v>0</v>
      </c>
      <c r="P4" s="18">
        <f t="shared" si="0"/>
        <v>0</v>
      </c>
      <c r="Q4" s="26">
        <v>0</v>
      </c>
      <c r="R4" s="17"/>
      <c r="T4" s="12">
        <v>2</v>
      </c>
      <c r="U4" s="14" t="s">
        <v>23</v>
      </c>
      <c r="V4" s="13" t="s">
        <v>46</v>
      </c>
      <c r="W4" s="12" t="s">
        <v>44</v>
      </c>
      <c r="X4" s="13" t="s">
        <v>45</v>
      </c>
      <c r="Y4" s="22"/>
    </row>
    <row r="5" spans="1:25" ht="21" x14ac:dyDescent="0.25">
      <c r="A5" s="19" t="s">
        <v>47</v>
      </c>
      <c r="B5" s="20" t="s">
        <v>48</v>
      </c>
      <c r="C5" s="34" t="b">
        <v>0</v>
      </c>
      <c r="D5" s="34" t="b">
        <v>0</v>
      </c>
      <c r="E5" s="34" t="b">
        <v>0</v>
      </c>
      <c r="F5" s="34" t="b">
        <v>0</v>
      </c>
      <c r="G5" s="34" t="b">
        <v>0</v>
      </c>
      <c r="H5" s="34" t="b">
        <v>0</v>
      </c>
      <c r="I5" s="34" t="b">
        <v>0</v>
      </c>
      <c r="J5" s="34" t="b">
        <v>0</v>
      </c>
      <c r="K5" s="34" t="b">
        <v>0</v>
      </c>
      <c r="L5" s="34" t="b">
        <v>0</v>
      </c>
      <c r="M5" s="34" t="b">
        <v>0</v>
      </c>
      <c r="N5" s="34" t="b">
        <v>0</v>
      </c>
      <c r="O5" s="34" t="b">
        <v>0</v>
      </c>
      <c r="P5" s="34" t="b">
        <v>0</v>
      </c>
      <c r="Q5" s="24" t="str">
        <f>IF(COUNTIF(C5:P5,TRUE)=0,"",COUNTIF(C5:P5,TRUE))</f>
        <v/>
      </c>
      <c r="R5" s="19"/>
      <c r="T5" s="12">
        <v>3</v>
      </c>
      <c r="U5" s="14" t="s">
        <v>24</v>
      </c>
      <c r="V5" s="13" t="s">
        <v>49</v>
      </c>
      <c r="W5" s="12" t="s">
        <v>44</v>
      </c>
      <c r="X5" s="13" t="s">
        <v>45</v>
      </c>
      <c r="Y5" s="22"/>
    </row>
    <row r="6" spans="1:25" ht="21" x14ac:dyDescent="0.25">
      <c r="A6" s="19" t="s">
        <v>50</v>
      </c>
      <c r="B6" s="20" t="s">
        <v>51</v>
      </c>
      <c r="C6" s="34" t="b">
        <v>0</v>
      </c>
      <c r="D6" s="34" t="b">
        <v>0</v>
      </c>
      <c r="E6" s="34" t="b">
        <v>0</v>
      </c>
      <c r="F6" s="34" t="b">
        <v>0</v>
      </c>
      <c r="G6" s="34" t="b">
        <v>0</v>
      </c>
      <c r="H6" s="34" t="b">
        <v>0</v>
      </c>
      <c r="I6" s="34" t="b">
        <v>0</v>
      </c>
      <c r="J6" s="34" t="b">
        <v>0</v>
      </c>
      <c r="K6" s="34" t="b">
        <v>0</v>
      </c>
      <c r="L6" s="34" t="b">
        <v>0</v>
      </c>
      <c r="M6" s="34" t="b">
        <v>0</v>
      </c>
      <c r="N6" s="34" t="b">
        <v>0</v>
      </c>
      <c r="O6" s="34" t="b">
        <v>0</v>
      </c>
      <c r="P6" s="34" t="b">
        <v>0</v>
      </c>
      <c r="Q6" s="24" t="str">
        <f t="shared" ref="Q6:Q20" si="1">IF(COUNTIF(C6:P6,TRUE)=0,"",COUNTIF(C6:P6,TRUE))</f>
        <v/>
      </c>
      <c r="R6" s="19"/>
      <c r="T6" s="12">
        <v>4</v>
      </c>
      <c r="U6" s="14" t="s">
        <v>52</v>
      </c>
      <c r="V6" s="13" t="s">
        <v>53</v>
      </c>
      <c r="W6" s="12" t="s">
        <v>44</v>
      </c>
      <c r="X6" s="13" t="s">
        <v>45</v>
      </c>
      <c r="Y6" s="22"/>
    </row>
    <row r="7" spans="1:25" ht="21" x14ac:dyDescent="0.25">
      <c r="A7" s="19" t="s">
        <v>54</v>
      </c>
      <c r="B7" s="20" t="s">
        <v>55</v>
      </c>
      <c r="C7" s="34" t="b">
        <v>0</v>
      </c>
      <c r="D7" s="34" t="b">
        <v>0</v>
      </c>
      <c r="E7" s="34" t="b">
        <v>0</v>
      </c>
      <c r="F7" s="34" t="b">
        <v>0</v>
      </c>
      <c r="G7" s="34" t="b">
        <v>0</v>
      </c>
      <c r="H7" s="34" t="b">
        <v>0</v>
      </c>
      <c r="I7" s="34" t="b">
        <v>0</v>
      </c>
      <c r="J7" s="34" t="b">
        <v>0</v>
      </c>
      <c r="K7" s="34" t="b">
        <v>0</v>
      </c>
      <c r="L7" s="34" t="b">
        <v>0</v>
      </c>
      <c r="M7" s="34" t="b">
        <v>0</v>
      </c>
      <c r="N7" s="34" t="b">
        <v>0</v>
      </c>
      <c r="O7" s="34" t="b">
        <v>0</v>
      </c>
      <c r="P7" s="34" t="b">
        <v>0</v>
      </c>
      <c r="Q7" s="24" t="str">
        <f t="shared" si="1"/>
        <v/>
      </c>
      <c r="R7" s="19"/>
    </row>
    <row r="8" spans="1:25" ht="21" x14ac:dyDescent="0.25">
      <c r="A8" s="19" t="s">
        <v>56</v>
      </c>
      <c r="B8" s="20" t="s">
        <v>57</v>
      </c>
      <c r="C8" s="34" t="b">
        <v>0</v>
      </c>
      <c r="D8" s="34" t="b">
        <v>0</v>
      </c>
      <c r="E8" s="34" t="b">
        <v>0</v>
      </c>
      <c r="F8" s="34" t="b">
        <v>0</v>
      </c>
      <c r="G8" s="34" t="b">
        <v>0</v>
      </c>
      <c r="H8" s="34" t="b">
        <v>0</v>
      </c>
      <c r="I8" s="34" t="b">
        <v>0</v>
      </c>
      <c r="J8" s="34" t="b">
        <v>0</v>
      </c>
      <c r="K8" s="34" t="b">
        <v>0</v>
      </c>
      <c r="L8" s="34" t="b">
        <v>0</v>
      </c>
      <c r="M8" s="34" t="b">
        <v>0</v>
      </c>
      <c r="N8" s="34" t="b">
        <v>0</v>
      </c>
      <c r="O8" s="34" t="b">
        <v>0</v>
      </c>
      <c r="P8" s="34" t="b">
        <v>0</v>
      </c>
      <c r="Q8" s="24" t="str">
        <f t="shared" si="1"/>
        <v/>
      </c>
      <c r="R8" s="19"/>
    </row>
    <row r="9" spans="1:25" ht="21" x14ac:dyDescent="0.25">
      <c r="A9" s="19" t="s">
        <v>58</v>
      </c>
      <c r="B9" s="20" t="s">
        <v>59</v>
      </c>
      <c r="C9" s="34" t="b">
        <v>0</v>
      </c>
      <c r="D9" s="34" t="b">
        <v>0</v>
      </c>
      <c r="E9" s="34" t="b">
        <v>0</v>
      </c>
      <c r="F9" s="34" t="b">
        <v>0</v>
      </c>
      <c r="G9" s="34" t="b">
        <v>0</v>
      </c>
      <c r="H9" s="34" t="b">
        <v>0</v>
      </c>
      <c r="I9" s="34" t="b">
        <v>0</v>
      </c>
      <c r="J9" s="34" t="b">
        <v>0</v>
      </c>
      <c r="K9" s="34" t="b">
        <v>0</v>
      </c>
      <c r="L9" s="34" t="b">
        <v>0</v>
      </c>
      <c r="M9" s="34" t="b">
        <v>0</v>
      </c>
      <c r="N9" s="34" t="b">
        <v>0</v>
      </c>
      <c r="O9" s="34" t="b">
        <v>0</v>
      </c>
      <c r="P9" s="34" t="b">
        <v>0</v>
      </c>
      <c r="Q9" s="24" t="str">
        <f t="shared" si="1"/>
        <v/>
      </c>
      <c r="R9" s="19"/>
    </row>
    <row r="10" spans="1:25" ht="21" x14ac:dyDescent="0.25">
      <c r="A10" s="19" t="s">
        <v>60</v>
      </c>
      <c r="B10" s="20" t="s">
        <v>61</v>
      </c>
      <c r="C10" s="34" t="b">
        <v>0</v>
      </c>
      <c r="D10" s="34" t="b">
        <v>0</v>
      </c>
      <c r="E10" s="34" t="b">
        <v>0</v>
      </c>
      <c r="F10" s="34" t="b">
        <v>0</v>
      </c>
      <c r="G10" s="34" t="b">
        <v>0</v>
      </c>
      <c r="H10" s="34" t="b">
        <v>0</v>
      </c>
      <c r="I10" s="34" t="b">
        <v>0</v>
      </c>
      <c r="J10" s="34" t="b">
        <v>0</v>
      </c>
      <c r="K10" s="34" t="b">
        <v>0</v>
      </c>
      <c r="L10" s="34" t="b">
        <v>0</v>
      </c>
      <c r="M10" s="34" t="b">
        <v>0</v>
      </c>
      <c r="N10" s="34" t="b">
        <v>0</v>
      </c>
      <c r="O10" s="34" t="b">
        <v>0</v>
      </c>
      <c r="P10" s="34" t="b">
        <v>0</v>
      </c>
      <c r="Q10" s="24" t="str">
        <f t="shared" si="1"/>
        <v/>
      </c>
      <c r="R10" s="19"/>
    </row>
    <row r="11" spans="1:25" ht="21" x14ac:dyDescent="0.25">
      <c r="A11" s="19" t="s">
        <v>62</v>
      </c>
      <c r="B11" s="20" t="s">
        <v>63</v>
      </c>
      <c r="C11" s="34" t="b">
        <v>0</v>
      </c>
      <c r="D11" s="34" t="b">
        <v>0</v>
      </c>
      <c r="E11" s="34" t="b">
        <v>0</v>
      </c>
      <c r="F11" s="34" t="b">
        <v>0</v>
      </c>
      <c r="G11" s="34" t="b">
        <v>0</v>
      </c>
      <c r="H11" s="34" t="b">
        <v>0</v>
      </c>
      <c r="I11" s="34" t="b">
        <v>0</v>
      </c>
      <c r="J11" s="34" t="b">
        <v>0</v>
      </c>
      <c r="K11" s="34" t="b">
        <v>0</v>
      </c>
      <c r="L11" s="34" t="b">
        <v>0</v>
      </c>
      <c r="M11" s="34" t="b">
        <v>0</v>
      </c>
      <c r="N11" s="34" t="b">
        <v>0</v>
      </c>
      <c r="O11" s="34" t="b">
        <v>0</v>
      </c>
      <c r="P11" s="34" t="b">
        <v>0</v>
      </c>
      <c r="Q11" s="24" t="str">
        <f t="shared" si="1"/>
        <v/>
      </c>
      <c r="R11" s="19"/>
    </row>
    <row r="12" spans="1:25" ht="21" x14ac:dyDescent="0.25">
      <c r="A12" s="19" t="s">
        <v>64</v>
      </c>
      <c r="B12" s="20" t="s">
        <v>65</v>
      </c>
      <c r="C12" s="34" t="b">
        <v>0</v>
      </c>
      <c r="D12" s="34" t="b">
        <v>0</v>
      </c>
      <c r="E12" s="34" t="b">
        <v>0</v>
      </c>
      <c r="F12" s="34" t="b">
        <v>0</v>
      </c>
      <c r="G12" s="34" t="b">
        <v>0</v>
      </c>
      <c r="H12" s="34" t="b">
        <v>0</v>
      </c>
      <c r="I12" s="34" t="b">
        <v>0</v>
      </c>
      <c r="J12" s="34" t="b">
        <v>0</v>
      </c>
      <c r="K12" s="34" t="b">
        <v>0</v>
      </c>
      <c r="L12" s="34" t="b">
        <v>0</v>
      </c>
      <c r="M12" s="34" t="b">
        <v>0</v>
      </c>
      <c r="N12" s="34" t="b">
        <v>0</v>
      </c>
      <c r="O12" s="34" t="b">
        <v>0</v>
      </c>
      <c r="P12" s="34" t="b">
        <v>0</v>
      </c>
      <c r="Q12" s="24" t="str">
        <f t="shared" si="1"/>
        <v/>
      </c>
      <c r="R12" s="19"/>
    </row>
    <row r="13" spans="1:25" ht="21" x14ac:dyDescent="0.25">
      <c r="A13" s="19" t="s">
        <v>66</v>
      </c>
      <c r="B13" s="20" t="s">
        <v>67</v>
      </c>
      <c r="C13" s="34" t="b">
        <v>0</v>
      </c>
      <c r="D13" s="34" t="b">
        <v>0</v>
      </c>
      <c r="E13" s="34" t="b">
        <v>0</v>
      </c>
      <c r="F13" s="34" t="b">
        <v>0</v>
      </c>
      <c r="G13" s="34" t="b">
        <v>0</v>
      </c>
      <c r="H13" s="34" t="b">
        <v>0</v>
      </c>
      <c r="I13" s="34" t="b">
        <v>0</v>
      </c>
      <c r="J13" s="34" t="b">
        <v>0</v>
      </c>
      <c r="K13" s="34" t="b">
        <v>0</v>
      </c>
      <c r="L13" s="34" t="b">
        <v>0</v>
      </c>
      <c r="M13" s="34" t="b">
        <v>0</v>
      </c>
      <c r="N13" s="34" t="b">
        <v>0</v>
      </c>
      <c r="O13" s="34" t="b">
        <v>0</v>
      </c>
      <c r="P13" s="34" t="b">
        <v>0</v>
      </c>
      <c r="Q13" s="24" t="str">
        <f t="shared" si="1"/>
        <v/>
      </c>
      <c r="R13" s="19"/>
    </row>
    <row r="14" spans="1:25" ht="21" x14ac:dyDescent="0.25">
      <c r="A14" s="19" t="s">
        <v>66</v>
      </c>
      <c r="B14" s="20" t="s">
        <v>68</v>
      </c>
      <c r="C14" s="34" t="b">
        <v>0</v>
      </c>
      <c r="D14" s="34" t="b">
        <v>0</v>
      </c>
      <c r="E14" s="34" t="b">
        <v>0</v>
      </c>
      <c r="F14" s="34" t="b">
        <v>0</v>
      </c>
      <c r="G14" s="34" t="b">
        <v>0</v>
      </c>
      <c r="H14" s="34" t="b">
        <v>0</v>
      </c>
      <c r="I14" s="34" t="b">
        <v>0</v>
      </c>
      <c r="J14" s="34" t="b">
        <v>0</v>
      </c>
      <c r="K14" s="34" t="b">
        <v>0</v>
      </c>
      <c r="L14" s="34" t="b">
        <v>0</v>
      </c>
      <c r="M14" s="34" t="b">
        <v>0</v>
      </c>
      <c r="N14" s="34" t="b">
        <v>0</v>
      </c>
      <c r="O14" s="34" t="b">
        <v>0</v>
      </c>
      <c r="P14" s="34" t="b">
        <v>0</v>
      </c>
      <c r="Q14" s="24" t="str">
        <f t="shared" si="1"/>
        <v/>
      </c>
      <c r="R14" s="19"/>
    </row>
    <row r="15" spans="1:25" ht="21" x14ac:dyDescent="0.25">
      <c r="A15" s="19" t="s">
        <v>66</v>
      </c>
      <c r="B15" s="20" t="s">
        <v>69</v>
      </c>
      <c r="C15" s="34" t="b">
        <v>0</v>
      </c>
      <c r="D15" s="34" t="b">
        <v>0</v>
      </c>
      <c r="E15" s="34" t="b">
        <v>0</v>
      </c>
      <c r="F15" s="34" t="b">
        <v>0</v>
      </c>
      <c r="G15" s="34" t="b">
        <v>0</v>
      </c>
      <c r="H15" s="34" t="b">
        <v>0</v>
      </c>
      <c r="I15" s="34" t="b">
        <v>0</v>
      </c>
      <c r="J15" s="34" t="b">
        <v>0</v>
      </c>
      <c r="K15" s="34" t="b">
        <v>0</v>
      </c>
      <c r="L15" s="34" t="b">
        <v>0</v>
      </c>
      <c r="M15" s="34" t="b">
        <v>0</v>
      </c>
      <c r="N15" s="34" t="b">
        <v>0</v>
      </c>
      <c r="O15" s="34" t="b">
        <v>0</v>
      </c>
      <c r="P15" s="34" t="b">
        <v>0</v>
      </c>
      <c r="Q15" s="24" t="str">
        <f t="shared" si="1"/>
        <v/>
      </c>
      <c r="R15" s="19"/>
    </row>
    <row r="16" spans="1:25" ht="21" x14ac:dyDescent="0.25">
      <c r="A16" s="19" t="s">
        <v>66</v>
      </c>
      <c r="B16" s="20" t="s">
        <v>70</v>
      </c>
      <c r="C16" s="34" t="b">
        <v>0</v>
      </c>
      <c r="D16" s="34" t="b">
        <v>0</v>
      </c>
      <c r="E16" s="34" t="b">
        <v>0</v>
      </c>
      <c r="F16" s="34" t="b">
        <v>0</v>
      </c>
      <c r="G16" s="34" t="b">
        <v>0</v>
      </c>
      <c r="H16" s="34" t="b">
        <v>0</v>
      </c>
      <c r="I16" s="34" t="b">
        <v>0</v>
      </c>
      <c r="J16" s="34" t="b">
        <v>0</v>
      </c>
      <c r="K16" s="34" t="b">
        <v>0</v>
      </c>
      <c r="L16" s="34" t="b">
        <v>0</v>
      </c>
      <c r="M16" s="34" t="b">
        <v>0</v>
      </c>
      <c r="N16" s="34" t="b">
        <v>0</v>
      </c>
      <c r="O16" s="34" t="b">
        <v>0</v>
      </c>
      <c r="P16" s="34" t="b">
        <v>0</v>
      </c>
      <c r="Q16" s="24" t="str">
        <f t="shared" si="1"/>
        <v/>
      </c>
      <c r="R16" s="19"/>
    </row>
    <row r="17" spans="1:18" ht="21" x14ac:dyDescent="0.25">
      <c r="A17" s="19" t="s">
        <v>66</v>
      </c>
      <c r="B17" s="20" t="s">
        <v>71</v>
      </c>
      <c r="C17" s="34" t="b">
        <v>0</v>
      </c>
      <c r="D17" s="34" t="b">
        <v>0</v>
      </c>
      <c r="E17" s="34" t="b">
        <v>0</v>
      </c>
      <c r="F17" s="34" t="b">
        <v>0</v>
      </c>
      <c r="G17" s="34" t="b">
        <v>0</v>
      </c>
      <c r="H17" s="34" t="b">
        <v>0</v>
      </c>
      <c r="I17" s="34" t="b">
        <v>0</v>
      </c>
      <c r="J17" s="34" t="b">
        <v>0</v>
      </c>
      <c r="K17" s="34" t="b">
        <v>0</v>
      </c>
      <c r="L17" s="34" t="b">
        <v>0</v>
      </c>
      <c r="M17" s="34" t="b">
        <v>0</v>
      </c>
      <c r="N17" s="34" t="b">
        <v>0</v>
      </c>
      <c r="O17" s="34" t="b">
        <v>0</v>
      </c>
      <c r="P17" s="34" t="b">
        <v>0</v>
      </c>
      <c r="Q17" s="24" t="str">
        <f t="shared" si="1"/>
        <v/>
      </c>
      <c r="R17" s="19"/>
    </row>
    <row r="18" spans="1:18" ht="21" x14ac:dyDescent="0.25">
      <c r="A18" s="19" t="s">
        <v>66</v>
      </c>
      <c r="B18" s="20" t="s">
        <v>72</v>
      </c>
      <c r="C18" s="34" t="b">
        <v>0</v>
      </c>
      <c r="D18" s="34" t="b">
        <v>0</v>
      </c>
      <c r="E18" s="34" t="b">
        <v>0</v>
      </c>
      <c r="F18" s="34" t="b">
        <v>0</v>
      </c>
      <c r="G18" s="34" t="b">
        <v>0</v>
      </c>
      <c r="H18" s="34" t="b">
        <v>0</v>
      </c>
      <c r="I18" s="34" t="b">
        <v>0</v>
      </c>
      <c r="J18" s="34" t="b">
        <v>0</v>
      </c>
      <c r="K18" s="34" t="b">
        <v>0</v>
      </c>
      <c r="L18" s="34" t="b">
        <v>0</v>
      </c>
      <c r="M18" s="34" t="b">
        <v>0</v>
      </c>
      <c r="N18" s="34" t="b">
        <v>0</v>
      </c>
      <c r="O18" s="34" t="b">
        <v>0</v>
      </c>
      <c r="P18" s="34" t="b">
        <v>0</v>
      </c>
      <c r="Q18" s="24" t="str">
        <f t="shared" si="1"/>
        <v/>
      </c>
      <c r="R18" s="19"/>
    </row>
    <row r="19" spans="1:18" ht="21" x14ac:dyDescent="0.25">
      <c r="A19" s="19" t="s">
        <v>66</v>
      </c>
      <c r="B19" s="20" t="s">
        <v>73</v>
      </c>
      <c r="C19" s="34" t="b">
        <v>0</v>
      </c>
      <c r="D19" s="34" t="b">
        <v>0</v>
      </c>
      <c r="E19" s="34" t="b">
        <v>0</v>
      </c>
      <c r="F19" s="34" t="b">
        <v>0</v>
      </c>
      <c r="G19" s="34" t="b">
        <v>0</v>
      </c>
      <c r="H19" s="34" t="b">
        <v>0</v>
      </c>
      <c r="I19" s="34" t="b">
        <v>0</v>
      </c>
      <c r="J19" s="34" t="b">
        <v>0</v>
      </c>
      <c r="K19" s="34" t="b">
        <v>0</v>
      </c>
      <c r="L19" s="34" t="b">
        <v>0</v>
      </c>
      <c r="M19" s="34" t="b">
        <v>0</v>
      </c>
      <c r="N19" s="34" t="b">
        <v>0</v>
      </c>
      <c r="O19" s="34" t="b">
        <v>0</v>
      </c>
      <c r="P19" s="34" t="b">
        <v>0</v>
      </c>
      <c r="Q19" s="24" t="str">
        <f t="shared" si="1"/>
        <v/>
      </c>
      <c r="R19" s="19"/>
    </row>
    <row r="20" spans="1:18" ht="21" x14ac:dyDescent="0.25">
      <c r="A20" s="19" t="s">
        <v>66</v>
      </c>
      <c r="B20" s="20" t="s">
        <v>74</v>
      </c>
      <c r="C20" s="34" t="b">
        <v>0</v>
      </c>
      <c r="D20" s="34" t="b">
        <v>0</v>
      </c>
      <c r="E20" s="34" t="b">
        <v>0</v>
      </c>
      <c r="F20" s="34" t="b">
        <v>0</v>
      </c>
      <c r="G20" s="34" t="b">
        <v>0</v>
      </c>
      <c r="H20" s="34" t="b">
        <v>0</v>
      </c>
      <c r="I20" s="34" t="b">
        <v>0</v>
      </c>
      <c r="J20" s="34" t="b">
        <v>0</v>
      </c>
      <c r="K20" s="34" t="b">
        <v>0</v>
      </c>
      <c r="L20" s="34" t="b">
        <v>0</v>
      </c>
      <c r="M20" s="34" t="b">
        <v>0</v>
      </c>
      <c r="N20" s="34" t="b">
        <v>0</v>
      </c>
      <c r="O20" s="34" t="b">
        <v>0</v>
      </c>
      <c r="P20" s="34" t="b">
        <v>0</v>
      </c>
      <c r="Q20" s="24" t="str">
        <f t="shared" si="1"/>
        <v/>
      </c>
      <c r="R20" s="19"/>
    </row>
    <row r="21" spans="1:18" s="8" customFormat="1" ht="21" x14ac:dyDescent="0.6">
      <c r="A21" s="72" t="s">
        <v>75</v>
      </c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25">
        <f>SUBTOTAL(2,Q5:Q20)</f>
        <v>0</v>
      </c>
      <c r="R21" s="72"/>
    </row>
  </sheetData>
  <mergeCells count="7">
    <mergeCell ref="W1:X1"/>
    <mergeCell ref="A1:R1"/>
    <mergeCell ref="H2:J2"/>
    <mergeCell ref="O2:P2"/>
    <mergeCell ref="K2:L2"/>
    <mergeCell ref="M2:N2"/>
    <mergeCell ref="D2:G2"/>
  </mergeCells>
  <conditionalFormatting sqref="U2:U6">
    <cfRule type="duplicateValues" dxfId="5" priority="3"/>
  </conditionalFormatting>
  <conditionalFormatting sqref="W3:W6">
    <cfRule type="containsText" dxfId="4" priority="4" operator="containsText" text="Normal"/>
    <cfRule type="containsText" dxfId="3" priority="5" operator="containsText" text="Monitor"/>
    <cfRule type="containsText" dxfId="2" priority="6" operator="containsText" text="Down"/>
  </conditionalFormatting>
  <conditionalFormatting sqref="X2:X6">
    <cfRule type="cellIs" dxfId="1" priority="1" operator="equal">
      <formula>"Down"</formula>
    </cfRule>
    <cfRule type="cellIs" dxfId="0" priority="2" operator="equal">
      <formula>"Online"</formula>
    </cfRule>
  </conditionalFormatting>
  <dataValidations count="1">
    <dataValidation type="list" sqref="W3:W6" xr:uid="{4A62ADA9-4C3F-43D0-A168-920228B56198}">
      <formula1>"ปกติ / Normal,รอตรวจสอบ / Pending ,ขัดข้อง / Down"</formula1>
    </dataValidation>
  </dataValidations>
  <pageMargins left="0.7" right="0.7" top="0.75" bottom="0.75" header="0.3" footer="0.3"/>
  <pageSetup scale="3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C57DA-B53F-4EF5-81D4-89FE6AB9FDC7}">
  <dimension ref="A1:E249"/>
  <sheetViews>
    <sheetView workbookViewId="0">
      <selection activeCell="G9" sqref="G9"/>
    </sheetView>
  </sheetViews>
  <sheetFormatPr defaultColWidth="9" defaultRowHeight="15.6" x14ac:dyDescent="0.25"/>
  <cols>
    <col min="1" max="1" width="13.5" style="45" bestFit="1" customWidth="1"/>
    <col min="2" max="2" width="9" style="44"/>
    <col min="3" max="3" width="13.19921875" style="44" bestFit="1" customWidth="1"/>
    <col min="4" max="4" width="14.5" style="44" bestFit="1" customWidth="1"/>
    <col min="5" max="5" width="9" style="44"/>
    <col min="6" max="16384" width="9" style="45"/>
  </cols>
  <sheetData>
    <row r="1" spans="1:5" s="39" customFormat="1" ht="18.600000000000001" x14ac:dyDescent="0.25">
      <c r="A1" s="36" t="s">
        <v>76</v>
      </c>
      <c r="B1" s="37" t="s">
        <v>77</v>
      </c>
      <c r="C1" s="37" t="s">
        <v>78</v>
      </c>
      <c r="D1" s="37" t="s">
        <v>79</v>
      </c>
      <c r="E1" s="38"/>
    </row>
    <row r="2" spans="1:5" ht="18.600000000000001" x14ac:dyDescent="0.25">
      <c r="A2" s="40" t="s">
        <v>42</v>
      </c>
      <c r="B2" s="41">
        <v>46235</v>
      </c>
      <c r="C2" s="42">
        <f>IF(D2="",100,MAX(0,(1440-D2)/1440*100))</f>
        <v>100</v>
      </c>
      <c r="D2" s="43"/>
    </row>
    <row r="3" spans="1:5" ht="18.600000000000001" x14ac:dyDescent="0.25">
      <c r="A3" s="40" t="s">
        <v>42</v>
      </c>
      <c r="B3" s="41">
        <v>46236</v>
      </c>
      <c r="C3" s="42">
        <f t="shared" ref="C3:C66" si="0">IF(D3="",100,MAX(0,(1440-D3)/1440*100))</f>
        <v>100</v>
      </c>
      <c r="D3" s="43"/>
    </row>
    <row r="4" spans="1:5" ht="18.600000000000001" x14ac:dyDescent="0.25">
      <c r="A4" s="40" t="s">
        <v>42</v>
      </c>
      <c r="B4" s="41">
        <v>46237</v>
      </c>
      <c r="C4" s="42">
        <f t="shared" si="0"/>
        <v>99.305555555555557</v>
      </c>
      <c r="D4" s="43">
        <v>10</v>
      </c>
    </row>
    <row r="5" spans="1:5" ht="18.600000000000001" x14ac:dyDescent="0.25">
      <c r="A5" s="40" t="s">
        <v>42</v>
      </c>
      <c r="B5" s="41">
        <v>46238</v>
      </c>
      <c r="C5" s="42">
        <f t="shared" si="0"/>
        <v>100</v>
      </c>
      <c r="D5" s="43"/>
    </row>
    <row r="6" spans="1:5" ht="18.600000000000001" x14ac:dyDescent="0.25">
      <c r="A6" s="46" t="s">
        <v>42</v>
      </c>
      <c r="B6" s="41">
        <v>46239</v>
      </c>
      <c r="C6" s="42">
        <f t="shared" ca="1" si="0"/>
        <v>99.513888888888886</v>
      </c>
      <c r="D6" s="43">
        <f t="shared" ref="D6:D65" ca="1" si="1">RANDBETWEEN(0,10)</f>
        <v>7</v>
      </c>
    </row>
    <row r="7" spans="1:5" ht="18.600000000000001" x14ac:dyDescent="0.25">
      <c r="A7" s="46" t="s">
        <v>42</v>
      </c>
      <c r="B7" s="41">
        <v>46240</v>
      </c>
      <c r="C7" s="42">
        <f t="shared" ca="1" si="0"/>
        <v>99.861111111111114</v>
      </c>
      <c r="D7" s="43">
        <f t="shared" ca="1" si="1"/>
        <v>2</v>
      </c>
    </row>
    <row r="8" spans="1:5" ht="18.600000000000001" x14ac:dyDescent="0.25">
      <c r="A8" s="46" t="s">
        <v>42</v>
      </c>
      <c r="B8" s="41">
        <v>46241</v>
      </c>
      <c r="C8" s="42">
        <f t="shared" ca="1" si="0"/>
        <v>99.930555555555557</v>
      </c>
      <c r="D8" s="43">
        <f t="shared" ca="1" si="1"/>
        <v>1</v>
      </c>
    </row>
    <row r="9" spans="1:5" ht="18.600000000000001" x14ac:dyDescent="0.25">
      <c r="A9" s="40" t="s">
        <v>42</v>
      </c>
      <c r="B9" s="41">
        <v>46242</v>
      </c>
      <c r="C9" s="42">
        <f t="shared" ca="1" si="0"/>
        <v>99.861111111111114</v>
      </c>
      <c r="D9" s="43">
        <f t="shared" ca="1" si="1"/>
        <v>2</v>
      </c>
    </row>
    <row r="10" spans="1:5" ht="18.600000000000001" x14ac:dyDescent="0.25">
      <c r="A10" s="40" t="s">
        <v>42</v>
      </c>
      <c r="B10" s="41">
        <v>46243</v>
      </c>
      <c r="C10" s="42">
        <f t="shared" si="0"/>
        <v>100</v>
      </c>
      <c r="D10" s="43"/>
    </row>
    <row r="11" spans="1:5" ht="18.600000000000001" x14ac:dyDescent="0.25">
      <c r="A11" s="40" t="s">
        <v>42</v>
      </c>
      <c r="B11" s="41">
        <v>46244</v>
      </c>
      <c r="C11" s="42">
        <f t="shared" ca="1" si="0"/>
        <v>99.375</v>
      </c>
      <c r="D11" s="43">
        <f t="shared" ca="1" si="1"/>
        <v>9</v>
      </c>
    </row>
    <row r="12" spans="1:5" ht="18.600000000000001" x14ac:dyDescent="0.25">
      <c r="A12" s="40" t="s">
        <v>42</v>
      </c>
      <c r="B12" s="41">
        <v>46245</v>
      </c>
      <c r="C12" s="42">
        <f t="shared" si="0"/>
        <v>100</v>
      </c>
      <c r="D12" s="43"/>
    </row>
    <row r="13" spans="1:5" ht="18.600000000000001" x14ac:dyDescent="0.25">
      <c r="A13" s="46" t="s">
        <v>42</v>
      </c>
      <c r="B13" s="41">
        <v>46246</v>
      </c>
      <c r="C13" s="42">
        <f t="shared" ca="1" si="0"/>
        <v>99.444444444444443</v>
      </c>
      <c r="D13" s="43">
        <f t="shared" ca="1" si="1"/>
        <v>8</v>
      </c>
    </row>
    <row r="14" spans="1:5" ht="18.600000000000001" x14ac:dyDescent="0.25">
      <c r="A14" s="46" t="s">
        <v>42</v>
      </c>
      <c r="B14" s="41">
        <v>46247</v>
      </c>
      <c r="C14" s="42">
        <f t="shared" ca="1" si="0"/>
        <v>99.583333333333329</v>
      </c>
      <c r="D14" s="43">
        <f t="shared" ca="1" si="1"/>
        <v>6</v>
      </c>
    </row>
    <row r="15" spans="1:5" ht="18.600000000000001" x14ac:dyDescent="0.25">
      <c r="A15" s="46" t="s">
        <v>42</v>
      </c>
      <c r="B15" s="41">
        <v>46248</v>
      </c>
      <c r="C15" s="42">
        <f t="shared" si="0"/>
        <v>100</v>
      </c>
      <c r="D15" s="43"/>
    </row>
    <row r="16" spans="1:5" ht="18.600000000000001" x14ac:dyDescent="0.25">
      <c r="A16" s="40" t="s">
        <v>42</v>
      </c>
      <c r="B16" s="41">
        <v>46249</v>
      </c>
      <c r="C16" s="42">
        <f t="shared" ca="1" si="0"/>
        <v>100</v>
      </c>
      <c r="D16" s="43">
        <f t="shared" ca="1" si="1"/>
        <v>0</v>
      </c>
    </row>
    <row r="17" spans="1:4" ht="18.600000000000001" x14ac:dyDescent="0.25">
      <c r="A17" s="40" t="s">
        <v>42</v>
      </c>
      <c r="B17" s="41">
        <v>46250</v>
      </c>
      <c r="C17" s="42">
        <f t="shared" ca="1" si="0"/>
        <v>99.444444444444443</v>
      </c>
      <c r="D17" s="43">
        <f t="shared" ca="1" si="1"/>
        <v>8</v>
      </c>
    </row>
    <row r="18" spans="1:4" ht="18.600000000000001" x14ac:dyDescent="0.25">
      <c r="A18" s="40" t="s">
        <v>42</v>
      </c>
      <c r="B18" s="41">
        <v>46251</v>
      </c>
      <c r="C18" s="42">
        <f t="shared" si="0"/>
        <v>100</v>
      </c>
      <c r="D18" s="43"/>
    </row>
    <row r="19" spans="1:4" ht="18.600000000000001" x14ac:dyDescent="0.25">
      <c r="A19" s="40" t="s">
        <v>42</v>
      </c>
      <c r="B19" s="41">
        <v>46252</v>
      </c>
      <c r="C19" s="42">
        <f t="shared" ca="1" si="0"/>
        <v>99.305555555555557</v>
      </c>
      <c r="D19" s="43">
        <f t="shared" ca="1" si="1"/>
        <v>10</v>
      </c>
    </row>
    <row r="20" spans="1:4" ht="18.600000000000001" x14ac:dyDescent="0.25">
      <c r="A20" s="46" t="s">
        <v>42</v>
      </c>
      <c r="B20" s="41">
        <v>46253</v>
      </c>
      <c r="C20" s="42">
        <f t="shared" si="0"/>
        <v>100</v>
      </c>
      <c r="D20" s="43"/>
    </row>
    <row r="21" spans="1:4" ht="18.600000000000001" x14ac:dyDescent="0.25">
      <c r="A21" s="46" t="s">
        <v>42</v>
      </c>
      <c r="B21" s="41">
        <v>46254</v>
      </c>
      <c r="C21" s="42">
        <f t="shared" ca="1" si="0"/>
        <v>99.791666666666671</v>
      </c>
      <c r="D21" s="43">
        <f t="shared" ca="1" si="1"/>
        <v>3</v>
      </c>
    </row>
    <row r="22" spans="1:4" ht="18.600000000000001" x14ac:dyDescent="0.25">
      <c r="A22" s="46" t="s">
        <v>42</v>
      </c>
      <c r="B22" s="41">
        <v>46255</v>
      </c>
      <c r="C22" s="42">
        <f t="shared" ca="1" si="0"/>
        <v>99.444444444444443</v>
      </c>
      <c r="D22" s="43">
        <f t="shared" ca="1" si="1"/>
        <v>8</v>
      </c>
    </row>
    <row r="23" spans="1:4" ht="18.600000000000001" x14ac:dyDescent="0.25">
      <c r="A23" s="40" t="s">
        <v>42</v>
      </c>
      <c r="B23" s="41">
        <v>46256</v>
      </c>
      <c r="C23" s="42">
        <f t="shared" ca="1" si="0"/>
        <v>99.861111111111114</v>
      </c>
      <c r="D23" s="43">
        <f t="shared" ca="1" si="1"/>
        <v>2</v>
      </c>
    </row>
    <row r="24" spans="1:4" ht="18.600000000000001" x14ac:dyDescent="0.25">
      <c r="A24" s="40" t="s">
        <v>42</v>
      </c>
      <c r="B24" s="41">
        <v>46257</v>
      </c>
      <c r="C24" s="42">
        <f t="shared" ca="1" si="0"/>
        <v>99.583333333333329</v>
      </c>
      <c r="D24" s="43">
        <f t="shared" ca="1" si="1"/>
        <v>6</v>
      </c>
    </row>
    <row r="25" spans="1:4" ht="18.600000000000001" x14ac:dyDescent="0.25">
      <c r="A25" s="40" t="s">
        <v>42</v>
      </c>
      <c r="B25" s="41">
        <v>46258</v>
      </c>
      <c r="C25" s="42">
        <f t="shared" ca="1" si="0"/>
        <v>99.791666666666671</v>
      </c>
      <c r="D25" s="43">
        <f t="shared" ca="1" si="1"/>
        <v>3</v>
      </c>
    </row>
    <row r="26" spans="1:4" ht="18.600000000000001" x14ac:dyDescent="0.25">
      <c r="A26" s="40" t="s">
        <v>42</v>
      </c>
      <c r="B26" s="41">
        <v>46259</v>
      </c>
      <c r="C26" s="42">
        <f t="shared" ca="1" si="0"/>
        <v>99.305555555555557</v>
      </c>
      <c r="D26" s="43">
        <f t="shared" ca="1" si="1"/>
        <v>10</v>
      </c>
    </row>
    <row r="27" spans="1:4" ht="18.600000000000001" x14ac:dyDescent="0.25">
      <c r="A27" s="46" t="s">
        <v>42</v>
      </c>
      <c r="B27" s="41">
        <v>46260</v>
      </c>
      <c r="C27" s="42">
        <f t="shared" ca="1" si="0"/>
        <v>99.930555555555557</v>
      </c>
      <c r="D27" s="43">
        <f t="shared" ca="1" si="1"/>
        <v>1</v>
      </c>
    </row>
    <row r="28" spans="1:4" ht="18.600000000000001" x14ac:dyDescent="0.25">
      <c r="A28" s="46" t="s">
        <v>42</v>
      </c>
      <c r="B28" s="41">
        <v>46261</v>
      </c>
      <c r="C28" s="42">
        <f t="shared" ca="1" si="0"/>
        <v>99.375</v>
      </c>
      <c r="D28" s="43">
        <f t="shared" ca="1" si="1"/>
        <v>9</v>
      </c>
    </row>
    <row r="29" spans="1:4" ht="18.600000000000001" x14ac:dyDescent="0.25">
      <c r="A29" s="46" t="s">
        <v>42</v>
      </c>
      <c r="B29" s="41">
        <v>46262</v>
      </c>
      <c r="C29" s="42">
        <f t="shared" ca="1" si="0"/>
        <v>99.722222222222229</v>
      </c>
      <c r="D29" s="43">
        <f t="shared" ca="1" si="1"/>
        <v>4</v>
      </c>
    </row>
    <row r="30" spans="1:4" ht="18.600000000000001" x14ac:dyDescent="0.25">
      <c r="A30" s="40" t="s">
        <v>42</v>
      </c>
      <c r="B30" s="41">
        <v>46263</v>
      </c>
      <c r="C30" s="42">
        <f t="shared" ca="1" si="0"/>
        <v>99.652777777777786</v>
      </c>
      <c r="D30" s="43">
        <f t="shared" ca="1" si="1"/>
        <v>5</v>
      </c>
    </row>
    <row r="31" spans="1:4" ht="18.600000000000001" x14ac:dyDescent="0.25">
      <c r="A31" s="40" t="s">
        <v>42</v>
      </c>
      <c r="B31" s="41">
        <v>46264</v>
      </c>
      <c r="C31" s="42">
        <f t="shared" ca="1" si="0"/>
        <v>100</v>
      </c>
      <c r="D31" s="43">
        <f t="shared" ca="1" si="1"/>
        <v>0</v>
      </c>
    </row>
    <row r="32" spans="1:4" ht="18.600000000000001" x14ac:dyDescent="0.25">
      <c r="A32" s="40" t="s">
        <v>42</v>
      </c>
      <c r="B32" s="41">
        <v>46265</v>
      </c>
      <c r="C32" s="42">
        <f t="shared" ca="1" si="0"/>
        <v>99.930555555555557</v>
      </c>
      <c r="D32" s="43">
        <f t="shared" ca="1" si="1"/>
        <v>1</v>
      </c>
    </row>
    <row r="33" spans="1:4" ht="18.600000000000001" x14ac:dyDescent="0.25">
      <c r="A33" s="40" t="s">
        <v>23</v>
      </c>
      <c r="B33" s="41">
        <v>46235</v>
      </c>
      <c r="C33" s="42">
        <f t="shared" ca="1" si="0"/>
        <v>100</v>
      </c>
      <c r="D33" s="43">
        <f t="shared" ca="1" si="1"/>
        <v>0</v>
      </c>
    </row>
    <row r="34" spans="1:4" ht="18.600000000000001" x14ac:dyDescent="0.25">
      <c r="A34" s="46" t="s">
        <v>23</v>
      </c>
      <c r="B34" s="41">
        <v>46236</v>
      </c>
      <c r="C34" s="42">
        <f t="shared" si="0"/>
        <v>100</v>
      </c>
      <c r="D34" s="43"/>
    </row>
    <row r="35" spans="1:4" ht="18.600000000000001" x14ac:dyDescent="0.25">
      <c r="A35" s="46" t="s">
        <v>23</v>
      </c>
      <c r="B35" s="41">
        <v>46237</v>
      </c>
      <c r="C35" s="42">
        <f t="shared" si="0"/>
        <v>100</v>
      </c>
      <c r="D35" s="43"/>
    </row>
    <row r="36" spans="1:4" ht="18.600000000000001" x14ac:dyDescent="0.25">
      <c r="A36" s="46" t="s">
        <v>23</v>
      </c>
      <c r="B36" s="41">
        <v>46238</v>
      </c>
      <c r="C36" s="42">
        <f t="shared" ca="1" si="0"/>
        <v>99.513888888888886</v>
      </c>
      <c r="D36" s="43">
        <f t="shared" ca="1" si="1"/>
        <v>7</v>
      </c>
    </row>
    <row r="37" spans="1:4" ht="18.600000000000001" x14ac:dyDescent="0.25">
      <c r="A37" s="40" t="s">
        <v>23</v>
      </c>
      <c r="B37" s="41">
        <v>46239</v>
      </c>
      <c r="C37" s="42">
        <f t="shared" ca="1" si="0"/>
        <v>99.930555555555557</v>
      </c>
      <c r="D37" s="43">
        <f t="shared" ca="1" si="1"/>
        <v>1</v>
      </c>
    </row>
    <row r="38" spans="1:4" ht="18.600000000000001" x14ac:dyDescent="0.25">
      <c r="A38" s="40" t="s">
        <v>23</v>
      </c>
      <c r="B38" s="41">
        <v>46240</v>
      </c>
      <c r="C38" s="42">
        <f t="shared" ca="1" si="0"/>
        <v>99.305555555555557</v>
      </c>
      <c r="D38" s="43">
        <f t="shared" ca="1" si="1"/>
        <v>10</v>
      </c>
    </row>
    <row r="39" spans="1:4" ht="18.600000000000001" x14ac:dyDescent="0.25">
      <c r="A39" s="40" t="s">
        <v>23</v>
      </c>
      <c r="B39" s="41">
        <v>46241</v>
      </c>
      <c r="C39" s="42">
        <f t="shared" si="0"/>
        <v>100</v>
      </c>
      <c r="D39" s="43"/>
    </row>
    <row r="40" spans="1:4" ht="18.600000000000001" x14ac:dyDescent="0.25">
      <c r="A40" s="40" t="s">
        <v>23</v>
      </c>
      <c r="B40" s="41">
        <v>46242</v>
      </c>
      <c r="C40" s="42">
        <f t="shared" si="0"/>
        <v>100</v>
      </c>
      <c r="D40" s="43"/>
    </row>
    <row r="41" spans="1:4" ht="18.600000000000001" x14ac:dyDescent="0.25">
      <c r="A41" s="46" t="s">
        <v>23</v>
      </c>
      <c r="B41" s="41">
        <v>46243</v>
      </c>
      <c r="C41" s="42">
        <f t="shared" ca="1" si="0"/>
        <v>100</v>
      </c>
      <c r="D41" s="43">
        <f t="shared" ca="1" si="1"/>
        <v>0</v>
      </c>
    </row>
    <row r="42" spans="1:4" ht="18.600000000000001" x14ac:dyDescent="0.25">
      <c r="A42" s="46" t="s">
        <v>23</v>
      </c>
      <c r="B42" s="41">
        <v>46244</v>
      </c>
      <c r="C42" s="42">
        <f t="shared" ca="1" si="0"/>
        <v>99.583333333333329</v>
      </c>
      <c r="D42" s="43">
        <f t="shared" ca="1" si="1"/>
        <v>6</v>
      </c>
    </row>
    <row r="43" spans="1:4" ht="18.600000000000001" x14ac:dyDescent="0.25">
      <c r="A43" s="46" t="s">
        <v>23</v>
      </c>
      <c r="B43" s="41">
        <v>46245</v>
      </c>
      <c r="C43" s="42">
        <f t="shared" ca="1" si="0"/>
        <v>99.722222222222229</v>
      </c>
      <c r="D43" s="43">
        <f t="shared" ca="1" si="1"/>
        <v>4</v>
      </c>
    </row>
    <row r="44" spans="1:4" ht="18.600000000000001" x14ac:dyDescent="0.25">
      <c r="A44" s="40" t="s">
        <v>23</v>
      </c>
      <c r="B44" s="41">
        <v>46246</v>
      </c>
      <c r="C44" s="42">
        <f t="shared" ca="1" si="0"/>
        <v>100</v>
      </c>
      <c r="D44" s="43">
        <f t="shared" ca="1" si="1"/>
        <v>0</v>
      </c>
    </row>
    <row r="45" spans="1:4" ht="18.600000000000001" x14ac:dyDescent="0.25">
      <c r="A45" s="40" t="s">
        <v>23</v>
      </c>
      <c r="B45" s="41">
        <v>46247</v>
      </c>
      <c r="C45" s="42">
        <f t="shared" ca="1" si="0"/>
        <v>99.722222222222229</v>
      </c>
      <c r="D45" s="43">
        <f t="shared" ca="1" si="1"/>
        <v>4</v>
      </c>
    </row>
    <row r="46" spans="1:4" ht="18.600000000000001" x14ac:dyDescent="0.25">
      <c r="A46" s="40" t="s">
        <v>23</v>
      </c>
      <c r="B46" s="41">
        <v>46248</v>
      </c>
      <c r="C46" s="42">
        <f t="shared" si="0"/>
        <v>100</v>
      </c>
      <c r="D46" s="43"/>
    </row>
    <row r="47" spans="1:4" ht="18.600000000000001" x14ac:dyDescent="0.25">
      <c r="A47" s="40" t="s">
        <v>23</v>
      </c>
      <c r="B47" s="41">
        <v>46249</v>
      </c>
      <c r="C47" s="42">
        <f t="shared" ca="1" si="0"/>
        <v>99.652777777777786</v>
      </c>
      <c r="D47" s="43">
        <f t="shared" ca="1" si="1"/>
        <v>5</v>
      </c>
    </row>
    <row r="48" spans="1:4" ht="18.600000000000001" x14ac:dyDescent="0.25">
      <c r="A48" s="46" t="s">
        <v>23</v>
      </c>
      <c r="B48" s="41">
        <v>46250</v>
      </c>
      <c r="C48" s="42">
        <f t="shared" ca="1" si="0"/>
        <v>99.583333333333329</v>
      </c>
      <c r="D48" s="43">
        <f t="shared" ca="1" si="1"/>
        <v>6</v>
      </c>
    </row>
    <row r="49" spans="1:4" ht="18.600000000000001" x14ac:dyDescent="0.25">
      <c r="A49" s="46" t="s">
        <v>23</v>
      </c>
      <c r="B49" s="41">
        <v>46251</v>
      </c>
      <c r="C49" s="42">
        <f t="shared" si="0"/>
        <v>100</v>
      </c>
      <c r="D49" s="43"/>
    </row>
    <row r="50" spans="1:4" ht="18.600000000000001" x14ac:dyDescent="0.25">
      <c r="A50" s="46" t="s">
        <v>23</v>
      </c>
      <c r="B50" s="41">
        <v>46252</v>
      </c>
      <c r="C50" s="42">
        <f t="shared" ca="1" si="0"/>
        <v>99.305555555555557</v>
      </c>
      <c r="D50" s="43">
        <f t="shared" ca="1" si="1"/>
        <v>10</v>
      </c>
    </row>
    <row r="51" spans="1:4" ht="18.600000000000001" x14ac:dyDescent="0.25">
      <c r="A51" s="40" t="s">
        <v>23</v>
      </c>
      <c r="B51" s="41">
        <v>46253</v>
      </c>
      <c r="C51" s="42">
        <f t="shared" si="0"/>
        <v>100</v>
      </c>
      <c r="D51" s="43"/>
    </row>
    <row r="52" spans="1:4" ht="18.600000000000001" x14ac:dyDescent="0.25">
      <c r="A52" s="40" t="s">
        <v>23</v>
      </c>
      <c r="B52" s="41">
        <v>46254</v>
      </c>
      <c r="C52" s="42">
        <f t="shared" si="0"/>
        <v>100</v>
      </c>
      <c r="D52" s="43"/>
    </row>
    <row r="53" spans="1:4" ht="18.600000000000001" x14ac:dyDescent="0.25">
      <c r="A53" s="40" t="s">
        <v>23</v>
      </c>
      <c r="B53" s="41">
        <v>46255</v>
      </c>
      <c r="C53" s="42">
        <f t="shared" ca="1" si="0"/>
        <v>99.652777777777786</v>
      </c>
      <c r="D53" s="43">
        <f t="shared" ca="1" si="1"/>
        <v>5</v>
      </c>
    </row>
    <row r="54" spans="1:4" ht="18.600000000000001" x14ac:dyDescent="0.25">
      <c r="A54" s="40" t="s">
        <v>23</v>
      </c>
      <c r="B54" s="41">
        <v>46256</v>
      </c>
      <c r="C54" s="42">
        <f t="shared" si="0"/>
        <v>100</v>
      </c>
      <c r="D54" s="43"/>
    </row>
    <row r="55" spans="1:4" ht="18.600000000000001" x14ac:dyDescent="0.25">
      <c r="A55" s="46" t="s">
        <v>23</v>
      </c>
      <c r="B55" s="41">
        <v>46257</v>
      </c>
      <c r="C55" s="42">
        <f t="shared" si="0"/>
        <v>100</v>
      </c>
      <c r="D55" s="43"/>
    </row>
    <row r="56" spans="1:4" ht="18.600000000000001" x14ac:dyDescent="0.25">
      <c r="A56" s="46" t="s">
        <v>23</v>
      </c>
      <c r="B56" s="41">
        <v>46258</v>
      </c>
      <c r="C56" s="42">
        <f t="shared" ca="1" si="0"/>
        <v>99.791666666666671</v>
      </c>
      <c r="D56" s="43">
        <f t="shared" ca="1" si="1"/>
        <v>3</v>
      </c>
    </row>
    <row r="57" spans="1:4" ht="18.600000000000001" x14ac:dyDescent="0.25">
      <c r="A57" s="46" t="s">
        <v>23</v>
      </c>
      <c r="B57" s="41">
        <v>46259</v>
      </c>
      <c r="C57" s="42">
        <f t="shared" ca="1" si="0"/>
        <v>100</v>
      </c>
      <c r="D57" s="43">
        <f t="shared" ca="1" si="1"/>
        <v>0</v>
      </c>
    </row>
    <row r="58" spans="1:4" ht="18.600000000000001" x14ac:dyDescent="0.25">
      <c r="A58" s="40" t="s">
        <v>23</v>
      </c>
      <c r="B58" s="41">
        <v>46260</v>
      </c>
      <c r="C58" s="42">
        <f t="shared" ca="1" si="0"/>
        <v>99.861111111111114</v>
      </c>
      <c r="D58" s="43">
        <f t="shared" ca="1" si="1"/>
        <v>2</v>
      </c>
    </row>
    <row r="59" spans="1:4" ht="18.600000000000001" x14ac:dyDescent="0.25">
      <c r="A59" s="40" t="s">
        <v>23</v>
      </c>
      <c r="B59" s="41">
        <v>46261</v>
      </c>
      <c r="C59" s="42">
        <f t="shared" ca="1" si="0"/>
        <v>99.375</v>
      </c>
      <c r="D59" s="43">
        <f t="shared" ca="1" si="1"/>
        <v>9</v>
      </c>
    </row>
    <row r="60" spans="1:4" ht="18.600000000000001" x14ac:dyDescent="0.25">
      <c r="A60" s="40" t="s">
        <v>23</v>
      </c>
      <c r="B60" s="41">
        <v>46262</v>
      </c>
      <c r="C60" s="42">
        <f t="shared" si="0"/>
        <v>100</v>
      </c>
      <c r="D60" s="43"/>
    </row>
    <row r="61" spans="1:4" ht="18.600000000000001" x14ac:dyDescent="0.25">
      <c r="A61" s="40" t="s">
        <v>23</v>
      </c>
      <c r="B61" s="41">
        <v>46263</v>
      </c>
      <c r="C61" s="42">
        <f t="shared" ca="1" si="0"/>
        <v>99.375</v>
      </c>
      <c r="D61" s="43">
        <f t="shared" ca="1" si="1"/>
        <v>9</v>
      </c>
    </row>
    <row r="62" spans="1:4" ht="18.600000000000001" x14ac:dyDescent="0.25">
      <c r="A62" s="46" t="s">
        <v>23</v>
      </c>
      <c r="B62" s="41">
        <v>46264</v>
      </c>
      <c r="C62" s="42">
        <f t="shared" ca="1" si="0"/>
        <v>99.930555555555557</v>
      </c>
      <c r="D62" s="43">
        <f t="shared" ca="1" si="1"/>
        <v>1</v>
      </c>
    </row>
    <row r="63" spans="1:4" ht="18.600000000000001" x14ac:dyDescent="0.25">
      <c r="A63" s="46" t="s">
        <v>23</v>
      </c>
      <c r="B63" s="41">
        <v>46265</v>
      </c>
      <c r="C63" s="42">
        <f t="shared" ca="1" si="0"/>
        <v>99.583333333333329</v>
      </c>
      <c r="D63" s="43">
        <f t="shared" ca="1" si="1"/>
        <v>6</v>
      </c>
    </row>
    <row r="64" spans="1:4" ht="18.600000000000001" x14ac:dyDescent="0.25">
      <c r="A64" s="46" t="s">
        <v>24</v>
      </c>
      <c r="B64" s="41">
        <v>46235</v>
      </c>
      <c r="C64" s="42">
        <f t="shared" si="0"/>
        <v>100</v>
      </c>
      <c r="D64" s="43"/>
    </row>
    <row r="65" spans="1:4" ht="18.600000000000001" x14ac:dyDescent="0.25">
      <c r="A65" s="40" t="s">
        <v>24</v>
      </c>
      <c r="B65" s="41">
        <v>46236</v>
      </c>
      <c r="C65" s="42">
        <f t="shared" ca="1" si="0"/>
        <v>100</v>
      </c>
      <c r="D65" s="43">
        <f t="shared" ca="1" si="1"/>
        <v>0</v>
      </c>
    </row>
    <row r="66" spans="1:4" ht="18.600000000000001" x14ac:dyDescent="0.25">
      <c r="A66" s="40" t="s">
        <v>24</v>
      </c>
      <c r="B66" s="41">
        <v>46237</v>
      </c>
      <c r="C66" s="42">
        <f t="shared" si="0"/>
        <v>100</v>
      </c>
      <c r="D66" s="43"/>
    </row>
    <row r="67" spans="1:4" ht="18.600000000000001" x14ac:dyDescent="0.25">
      <c r="A67" s="40" t="s">
        <v>24</v>
      </c>
      <c r="B67" s="41">
        <v>46238</v>
      </c>
      <c r="C67" s="42">
        <f t="shared" ref="C67:C125" ca="1" si="2">IF(D67="",100,MAX(0,(1440-D67)/1440*100))</f>
        <v>99.930555555555557</v>
      </c>
      <c r="D67" s="43">
        <f t="shared" ref="D67:D125" ca="1" si="3">RANDBETWEEN(0,10)</f>
        <v>1</v>
      </c>
    </row>
    <row r="68" spans="1:4" ht="18.600000000000001" x14ac:dyDescent="0.25">
      <c r="A68" s="40" t="s">
        <v>24</v>
      </c>
      <c r="B68" s="41">
        <v>46239</v>
      </c>
      <c r="C68" s="42">
        <f t="shared" si="2"/>
        <v>100</v>
      </c>
      <c r="D68" s="43"/>
    </row>
    <row r="69" spans="1:4" ht="18.600000000000001" x14ac:dyDescent="0.25">
      <c r="A69" s="46" t="s">
        <v>24</v>
      </c>
      <c r="B69" s="41">
        <v>46240</v>
      </c>
      <c r="C69" s="42">
        <f t="shared" si="2"/>
        <v>100</v>
      </c>
      <c r="D69" s="43"/>
    </row>
    <row r="70" spans="1:4" ht="18.600000000000001" x14ac:dyDescent="0.25">
      <c r="A70" s="46" t="s">
        <v>24</v>
      </c>
      <c r="B70" s="41">
        <v>46241</v>
      </c>
      <c r="C70" s="42">
        <f t="shared" ca="1" si="2"/>
        <v>99.444444444444443</v>
      </c>
      <c r="D70" s="43">
        <f t="shared" ca="1" si="3"/>
        <v>8</v>
      </c>
    </row>
    <row r="71" spans="1:4" ht="18.600000000000001" x14ac:dyDescent="0.25">
      <c r="A71" s="46" t="s">
        <v>24</v>
      </c>
      <c r="B71" s="41">
        <v>46242</v>
      </c>
      <c r="C71" s="42">
        <f t="shared" ca="1" si="2"/>
        <v>99.791666666666671</v>
      </c>
      <c r="D71" s="43">
        <f t="shared" ca="1" si="3"/>
        <v>3</v>
      </c>
    </row>
    <row r="72" spans="1:4" ht="18.600000000000001" x14ac:dyDescent="0.25">
      <c r="A72" s="40" t="s">
        <v>24</v>
      </c>
      <c r="B72" s="41">
        <v>46243</v>
      </c>
      <c r="C72" s="42">
        <f t="shared" si="2"/>
        <v>100</v>
      </c>
      <c r="D72" s="43"/>
    </row>
    <row r="73" spans="1:4" ht="18.600000000000001" x14ac:dyDescent="0.25">
      <c r="A73" s="40" t="s">
        <v>24</v>
      </c>
      <c r="B73" s="41">
        <v>46244</v>
      </c>
      <c r="C73" s="42">
        <f t="shared" ca="1" si="2"/>
        <v>99.583333333333329</v>
      </c>
      <c r="D73" s="43">
        <f t="shared" ca="1" si="3"/>
        <v>6</v>
      </c>
    </row>
    <row r="74" spans="1:4" ht="18.600000000000001" x14ac:dyDescent="0.25">
      <c r="A74" s="40" t="s">
        <v>24</v>
      </c>
      <c r="B74" s="41">
        <v>46245</v>
      </c>
      <c r="C74" s="42">
        <f t="shared" ca="1" si="2"/>
        <v>99.583333333333329</v>
      </c>
      <c r="D74" s="43">
        <f t="shared" ca="1" si="3"/>
        <v>6</v>
      </c>
    </row>
    <row r="75" spans="1:4" ht="18.600000000000001" x14ac:dyDescent="0.25">
      <c r="A75" s="40" t="s">
        <v>24</v>
      </c>
      <c r="B75" s="41">
        <v>46246</v>
      </c>
      <c r="C75" s="42">
        <f t="shared" ca="1" si="2"/>
        <v>99.930555555555557</v>
      </c>
      <c r="D75" s="43">
        <f t="shared" ca="1" si="3"/>
        <v>1</v>
      </c>
    </row>
    <row r="76" spans="1:4" ht="18.600000000000001" x14ac:dyDescent="0.25">
      <c r="A76" s="46" t="s">
        <v>24</v>
      </c>
      <c r="B76" s="41">
        <v>46247</v>
      </c>
      <c r="C76" s="42">
        <f t="shared" ca="1" si="2"/>
        <v>99.652777777777786</v>
      </c>
      <c r="D76" s="43">
        <f t="shared" ca="1" si="3"/>
        <v>5</v>
      </c>
    </row>
    <row r="77" spans="1:4" ht="18.600000000000001" x14ac:dyDescent="0.25">
      <c r="A77" s="46" t="s">
        <v>24</v>
      </c>
      <c r="B77" s="41">
        <v>46248</v>
      </c>
      <c r="C77" s="42">
        <f t="shared" ca="1" si="2"/>
        <v>99.652777777777786</v>
      </c>
      <c r="D77" s="43">
        <f t="shared" ca="1" si="3"/>
        <v>5</v>
      </c>
    </row>
    <row r="78" spans="1:4" ht="18.600000000000001" x14ac:dyDescent="0.25">
      <c r="A78" s="46" t="s">
        <v>24</v>
      </c>
      <c r="B78" s="41">
        <v>46249</v>
      </c>
      <c r="C78" s="42">
        <f t="shared" si="2"/>
        <v>100</v>
      </c>
      <c r="D78" s="43"/>
    </row>
    <row r="79" spans="1:4" ht="18.600000000000001" x14ac:dyDescent="0.25">
      <c r="A79" s="40" t="s">
        <v>24</v>
      </c>
      <c r="B79" s="41">
        <v>46250</v>
      </c>
      <c r="C79" s="42">
        <f t="shared" si="2"/>
        <v>100</v>
      </c>
      <c r="D79" s="43"/>
    </row>
    <row r="80" spans="1:4" ht="18.600000000000001" x14ac:dyDescent="0.25">
      <c r="A80" s="40" t="s">
        <v>24</v>
      </c>
      <c r="B80" s="41">
        <v>46251</v>
      </c>
      <c r="C80" s="42">
        <f t="shared" si="2"/>
        <v>100</v>
      </c>
      <c r="D80" s="43"/>
    </row>
    <row r="81" spans="1:4" ht="18.600000000000001" x14ac:dyDescent="0.25">
      <c r="A81" s="40" t="s">
        <v>24</v>
      </c>
      <c r="B81" s="41">
        <v>46252</v>
      </c>
      <c r="C81" s="42">
        <f t="shared" si="2"/>
        <v>100</v>
      </c>
      <c r="D81" s="43"/>
    </row>
    <row r="82" spans="1:4" ht="18.600000000000001" x14ac:dyDescent="0.25">
      <c r="A82" s="40" t="s">
        <v>24</v>
      </c>
      <c r="B82" s="41">
        <v>46253</v>
      </c>
      <c r="C82" s="42">
        <f t="shared" si="2"/>
        <v>100</v>
      </c>
      <c r="D82" s="43"/>
    </row>
    <row r="83" spans="1:4" ht="18.600000000000001" x14ac:dyDescent="0.25">
      <c r="A83" s="46" t="s">
        <v>24</v>
      </c>
      <c r="B83" s="41">
        <v>46254</v>
      </c>
      <c r="C83" s="42">
        <f t="shared" si="2"/>
        <v>100</v>
      </c>
      <c r="D83" s="43"/>
    </row>
    <row r="84" spans="1:4" ht="18.600000000000001" x14ac:dyDescent="0.25">
      <c r="A84" s="46" t="s">
        <v>24</v>
      </c>
      <c r="B84" s="41">
        <v>46255</v>
      </c>
      <c r="C84" s="42">
        <f t="shared" si="2"/>
        <v>100</v>
      </c>
      <c r="D84" s="43"/>
    </row>
    <row r="85" spans="1:4" ht="18.600000000000001" x14ac:dyDescent="0.25">
      <c r="A85" s="46" t="s">
        <v>24</v>
      </c>
      <c r="B85" s="41">
        <v>46256</v>
      </c>
      <c r="C85" s="42">
        <f t="shared" si="2"/>
        <v>100</v>
      </c>
      <c r="D85" s="43"/>
    </row>
    <row r="86" spans="1:4" ht="18.600000000000001" x14ac:dyDescent="0.25">
      <c r="A86" s="40" t="s">
        <v>24</v>
      </c>
      <c r="B86" s="41">
        <v>46257</v>
      </c>
      <c r="C86" s="42">
        <f t="shared" ca="1" si="2"/>
        <v>99.375</v>
      </c>
      <c r="D86" s="43">
        <f t="shared" ca="1" si="3"/>
        <v>9</v>
      </c>
    </row>
    <row r="87" spans="1:4" ht="18.600000000000001" x14ac:dyDescent="0.25">
      <c r="A87" s="40" t="s">
        <v>24</v>
      </c>
      <c r="B87" s="41">
        <v>46258</v>
      </c>
      <c r="C87" s="42">
        <f t="shared" si="2"/>
        <v>100</v>
      </c>
      <c r="D87" s="43"/>
    </row>
    <row r="88" spans="1:4" ht="18.600000000000001" x14ac:dyDescent="0.25">
      <c r="A88" s="40" t="s">
        <v>24</v>
      </c>
      <c r="B88" s="41">
        <v>46259</v>
      </c>
      <c r="C88" s="42">
        <f t="shared" ca="1" si="2"/>
        <v>99.305555555555557</v>
      </c>
      <c r="D88" s="43">
        <f t="shared" ca="1" si="3"/>
        <v>10</v>
      </c>
    </row>
    <row r="89" spans="1:4" ht="18.600000000000001" x14ac:dyDescent="0.25">
      <c r="A89" s="40" t="s">
        <v>24</v>
      </c>
      <c r="B89" s="41">
        <v>46260</v>
      </c>
      <c r="C89" s="42">
        <f t="shared" si="2"/>
        <v>100</v>
      </c>
      <c r="D89" s="43"/>
    </row>
    <row r="90" spans="1:4" ht="18.600000000000001" x14ac:dyDescent="0.25">
      <c r="A90" s="46" t="s">
        <v>24</v>
      </c>
      <c r="B90" s="41">
        <v>46261</v>
      </c>
      <c r="C90" s="42">
        <f t="shared" si="2"/>
        <v>100</v>
      </c>
      <c r="D90" s="43"/>
    </row>
    <row r="91" spans="1:4" ht="18.600000000000001" x14ac:dyDescent="0.25">
      <c r="A91" s="46" t="s">
        <v>24</v>
      </c>
      <c r="B91" s="41">
        <v>46262</v>
      </c>
      <c r="C91" s="42">
        <f t="shared" si="2"/>
        <v>100</v>
      </c>
      <c r="D91" s="43"/>
    </row>
    <row r="92" spans="1:4" ht="18.600000000000001" x14ac:dyDescent="0.25">
      <c r="A92" s="46" t="s">
        <v>24</v>
      </c>
      <c r="B92" s="41">
        <v>46263</v>
      </c>
      <c r="C92" s="42">
        <f t="shared" ca="1" si="2"/>
        <v>99.652777777777786</v>
      </c>
      <c r="D92" s="43">
        <f t="shared" ca="1" si="3"/>
        <v>5</v>
      </c>
    </row>
    <row r="93" spans="1:4" ht="18.600000000000001" x14ac:dyDescent="0.25">
      <c r="A93" s="40" t="s">
        <v>24</v>
      </c>
      <c r="B93" s="41">
        <v>46264</v>
      </c>
      <c r="C93" s="42">
        <f t="shared" ca="1" si="2"/>
        <v>99.513888888888886</v>
      </c>
      <c r="D93" s="43">
        <f t="shared" ca="1" si="3"/>
        <v>7</v>
      </c>
    </row>
    <row r="94" spans="1:4" ht="18.600000000000001" x14ac:dyDescent="0.25">
      <c r="A94" s="40" t="s">
        <v>24</v>
      </c>
      <c r="B94" s="41">
        <v>46265</v>
      </c>
      <c r="C94" s="42">
        <f t="shared" si="2"/>
        <v>100</v>
      </c>
      <c r="D94" s="43"/>
    </row>
    <row r="95" spans="1:4" ht="18.600000000000001" x14ac:dyDescent="0.25">
      <c r="A95" s="40" t="s">
        <v>52</v>
      </c>
      <c r="B95" s="41">
        <v>46235</v>
      </c>
      <c r="C95" s="42">
        <f t="shared" si="2"/>
        <v>100</v>
      </c>
      <c r="D95" s="43"/>
    </row>
    <row r="96" spans="1:4" ht="18.600000000000001" x14ac:dyDescent="0.25">
      <c r="A96" s="40" t="s">
        <v>52</v>
      </c>
      <c r="B96" s="41">
        <v>46236</v>
      </c>
      <c r="C96" s="42">
        <f t="shared" ca="1" si="2"/>
        <v>99.444444444444443</v>
      </c>
      <c r="D96" s="43">
        <f t="shared" ca="1" si="3"/>
        <v>8</v>
      </c>
    </row>
    <row r="97" spans="1:4" ht="18.600000000000001" x14ac:dyDescent="0.25">
      <c r="A97" s="46" t="s">
        <v>52</v>
      </c>
      <c r="B97" s="41">
        <v>46237</v>
      </c>
      <c r="C97" s="42">
        <f t="shared" si="2"/>
        <v>100</v>
      </c>
      <c r="D97" s="43"/>
    </row>
    <row r="98" spans="1:4" ht="18.600000000000001" x14ac:dyDescent="0.25">
      <c r="A98" s="46" t="s">
        <v>52</v>
      </c>
      <c r="B98" s="41">
        <v>46238</v>
      </c>
      <c r="C98" s="42">
        <f t="shared" ca="1" si="2"/>
        <v>99.583333333333329</v>
      </c>
      <c r="D98" s="43">
        <f t="shared" ca="1" si="3"/>
        <v>6</v>
      </c>
    </row>
    <row r="99" spans="1:4" ht="18.600000000000001" x14ac:dyDescent="0.25">
      <c r="A99" s="46" t="s">
        <v>52</v>
      </c>
      <c r="B99" s="41">
        <v>46239</v>
      </c>
      <c r="C99" s="42">
        <f t="shared" si="2"/>
        <v>100</v>
      </c>
      <c r="D99" s="43"/>
    </row>
    <row r="100" spans="1:4" ht="18.600000000000001" x14ac:dyDescent="0.25">
      <c r="A100" s="40" t="s">
        <v>52</v>
      </c>
      <c r="B100" s="41">
        <v>46240</v>
      </c>
      <c r="C100" s="42">
        <f t="shared" ca="1" si="2"/>
        <v>99.444444444444443</v>
      </c>
      <c r="D100" s="43">
        <f t="shared" ca="1" si="3"/>
        <v>8</v>
      </c>
    </row>
    <row r="101" spans="1:4" ht="18.600000000000001" x14ac:dyDescent="0.25">
      <c r="A101" s="40" t="s">
        <v>52</v>
      </c>
      <c r="B101" s="41">
        <v>46241</v>
      </c>
      <c r="C101" s="42">
        <f t="shared" ca="1" si="2"/>
        <v>99.513888888888886</v>
      </c>
      <c r="D101" s="43">
        <f t="shared" ca="1" si="3"/>
        <v>7</v>
      </c>
    </row>
    <row r="102" spans="1:4" ht="18.600000000000001" x14ac:dyDescent="0.25">
      <c r="A102" s="40" t="s">
        <v>52</v>
      </c>
      <c r="B102" s="41">
        <v>46242</v>
      </c>
      <c r="C102" s="42">
        <f t="shared" ca="1" si="2"/>
        <v>100</v>
      </c>
      <c r="D102" s="43">
        <f t="shared" ca="1" si="3"/>
        <v>0</v>
      </c>
    </row>
    <row r="103" spans="1:4" ht="18.600000000000001" x14ac:dyDescent="0.25">
      <c r="A103" s="40" t="s">
        <v>52</v>
      </c>
      <c r="B103" s="41">
        <v>46243</v>
      </c>
      <c r="C103" s="42">
        <f t="shared" si="2"/>
        <v>100</v>
      </c>
      <c r="D103" s="43"/>
    </row>
    <row r="104" spans="1:4" ht="18.600000000000001" x14ac:dyDescent="0.25">
      <c r="A104" s="46" t="s">
        <v>52</v>
      </c>
      <c r="B104" s="41">
        <v>46244</v>
      </c>
      <c r="C104" s="42">
        <f t="shared" si="2"/>
        <v>100</v>
      </c>
      <c r="D104" s="43"/>
    </row>
    <row r="105" spans="1:4" ht="18.600000000000001" x14ac:dyDescent="0.25">
      <c r="A105" s="46" t="s">
        <v>52</v>
      </c>
      <c r="B105" s="41">
        <v>46245</v>
      </c>
      <c r="C105" s="42">
        <f t="shared" si="2"/>
        <v>100</v>
      </c>
      <c r="D105" s="43"/>
    </row>
    <row r="106" spans="1:4" ht="18.600000000000001" x14ac:dyDescent="0.25">
      <c r="A106" s="46" t="s">
        <v>52</v>
      </c>
      <c r="B106" s="41">
        <v>46246</v>
      </c>
      <c r="C106" s="42">
        <f t="shared" si="2"/>
        <v>100</v>
      </c>
      <c r="D106" s="43"/>
    </row>
    <row r="107" spans="1:4" ht="18.600000000000001" x14ac:dyDescent="0.25">
      <c r="A107" s="40" t="s">
        <v>52</v>
      </c>
      <c r="B107" s="41">
        <v>46247</v>
      </c>
      <c r="C107" s="42">
        <f t="shared" ca="1" si="2"/>
        <v>99.444444444444443</v>
      </c>
      <c r="D107" s="43">
        <f t="shared" ca="1" si="3"/>
        <v>8</v>
      </c>
    </row>
    <row r="108" spans="1:4" ht="18.600000000000001" x14ac:dyDescent="0.25">
      <c r="A108" s="40" t="s">
        <v>52</v>
      </c>
      <c r="B108" s="41">
        <v>46248</v>
      </c>
      <c r="C108" s="42">
        <f t="shared" ca="1" si="2"/>
        <v>99.375</v>
      </c>
      <c r="D108" s="43">
        <f t="shared" ca="1" si="3"/>
        <v>9</v>
      </c>
    </row>
    <row r="109" spans="1:4" ht="18.600000000000001" x14ac:dyDescent="0.25">
      <c r="A109" s="40" t="s">
        <v>52</v>
      </c>
      <c r="B109" s="41">
        <v>46249</v>
      </c>
      <c r="C109" s="42">
        <f t="shared" ca="1" si="2"/>
        <v>100</v>
      </c>
      <c r="D109" s="43">
        <f t="shared" ca="1" si="3"/>
        <v>0</v>
      </c>
    </row>
    <row r="110" spans="1:4" ht="18.600000000000001" x14ac:dyDescent="0.25">
      <c r="A110" s="40" t="s">
        <v>52</v>
      </c>
      <c r="B110" s="41">
        <v>46250</v>
      </c>
      <c r="C110" s="42">
        <f t="shared" ca="1" si="2"/>
        <v>99.513888888888886</v>
      </c>
      <c r="D110" s="43">
        <f t="shared" ca="1" si="3"/>
        <v>7</v>
      </c>
    </row>
    <row r="111" spans="1:4" ht="18.600000000000001" x14ac:dyDescent="0.25">
      <c r="A111" s="46" t="s">
        <v>52</v>
      </c>
      <c r="B111" s="41">
        <v>46251</v>
      </c>
      <c r="C111" s="42">
        <f t="shared" ca="1" si="2"/>
        <v>99.513888888888886</v>
      </c>
      <c r="D111" s="43">
        <f t="shared" ca="1" si="3"/>
        <v>7</v>
      </c>
    </row>
    <row r="112" spans="1:4" ht="18.600000000000001" x14ac:dyDescent="0.25">
      <c r="A112" s="46" t="s">
        <v>52</v>
      </c>
      <c r="B112" s="41">
        <v>46252</v>
      </c>
      <c r="C112" s="42">
        <f t="shared" ca="1" si="2"/>
        <v>99.375</v>
      </c>
      <c r="D112" s="43">
        <f t="shared" ca="1" si="3"/>
        <v>9</v>
      </c>
    </row>
    <row r="113" spans="1:4" ht="18.600000000000001" x14ac:dyDescent="0.25">
      <c r="A113" s="46" t="s">
        <v>52</v>
      </c>
      <c r="B113" s="41">
        <v>46253</v>
      </c>
      <c r="C113" s="42">
        <f t="shared" si="2"/>
        <v>100</v>
      </c>
      <c r="D113" s="43"/>
    </row>
    <row r="114" spans="1:4" ht="18.600000000000001" x14ac:dyDescent="0.25">
      <c r="A114" s="40" t="s">
        <v>52</v>
      </c>
      <c r="B114" s="41">
        <v>46254</v>
      </c>
      <c r="C114" s="42">
        <f t="shared" si="2"/>
        <v>100</v>
      </c>
      <c r="D114" s="43"/>
    </row>
    <row r="115" spans="1:4" ht="18.600000000000001" x14ac:dyDescent="0.25">
      <c r="A115" s="40" t="s">
        <v>52</v>
      </c>
      <c r="B115" s="41">
        <v>46255</v>
      </c>
      <c r="C115" s="42">
        <f t="shared" ca="1" si="2"/>
        <v>99.722222222222229</v>
      </c>
      <c r="D115" s="43">
        <f t="shared" ca="1" si="3"/>
        <v>4</v>
      </c>
    </row>
    <row r="116" spans="1:4" ht="18.600000000000001" x14ac:dyDescent="0.25">
      <c r="A116" s="40" t="s">
        <v>52</v>
      </c>
      <c r="B116" s="41">
        <v>46256</v>
      </c>
      <c r="C116" s="42">
        <f t="shared" ca="1" si="2"/>
        <v>99.861111111111114</v>
      </c>
      <c r="D116" s="43">
        <f t="shared" ca="1" si="3"/>
        <v>2</v>
      </c>
    </row>
    <row r="117" spans="1:4" ht="18.600000000000001" x14ac:dyDescent="0.25">
      <c r="A117" s="40" t="s">
        <v>52</v>
      </c>
      <c r="B117" s="41">
        <v>46257</v>
      </c>
      <c r="C117" s="42">
        <f t="shared" si="2"/>
        <v>100</v>
      </c>
      <c r="D117" s="43"/>
    </row>
    <row r="118" spans="1:4" ht="18.600000000000001" x14ac:dyDescent="0.25">
      <c r="A118" s="46" t="s">
        <v>52</v>
      </c>
      <c r="B118" s="41">
        <v>46258</v>
      </c>
      <c r="C118" s="42">
        <f t="shared" ca="1" si="2"/>
        <v>99.444444444444443</v>
      </c>
      <c r="D118" s="43">
        <f t="shared" ca="1" si="3"/>
        <v>8</v>
      </c>
    </row>
    <row r="119" spans="1:4" ht="18.600000000000001" x14ac:dyDescent="0.25">
      <c r="A119" s="46" t="s">
        <v>52</v>
      </c>
      <c r="B119" s="41">
        <v>46259</v>
      </c>
      <c r="C119" s="42">
        <f t="shared" ca="1" si="2"/>
        <v>99.305555555555557</v>
      </c>
      <c r="D119" s="43">
        <f t="shared" ca="1" si="3"/>
        <v>10</v>
      </c>
    </row>
    <row r="120" spans="1:4" ht="18.600000000000001" x14ac:dyDescent="0.25">
      <c r="A120" s="46" t="s">
        <v>52</v>
      </c>
      <c r="B120" s="41">
        <v>46260</v>
      </c>
      <c r="C120" s="42">
        <f t="shared" si="2"/>
        <v>100</v>
      </c>
      <c r="D120" s="43"/>
    </row>
    <row r="121" spans="1:4" ht="18.600000000000001" x14ac:dyDescent="0.25">
      <c r="A121" s="40" t="s">
        <v>52</v>
      </c>
      <c r="B121" s="41">
        <v>46261</v>
      </c>
      <c r="C121" s="42">
        <f t="shared" si="2"/>
        <v>100</v>
      </c>
      <c r="D121" s="43"/>
    </row>
    <row r="122" spans="1:4" ht="18.600000000000001" x14ac:dyDescent="0.25">
      <c r="A122" s="40" t="s">
        <v>52</v>
      </c>
      <c r="B122" s="41">
        <v>46262</v>
      </c>
      <c r="C122" s="42">
        <f t="shared" ca="1" si="2"/>
        <v>99.930555555555557</v>
      </c>
      <c r="D122" s="43">
        <f t="shared" ca="1" si="3"/>
        <v>1</v>
      </c>
    </row>
    <row r="123" spans="1:4" ht="18.600000000000001" x14ac:dyDescent="0.25">
      <c r="A123" s="40" t="s">
        <v>52</v>
      </c>
      <c r="B123" s="41">
        <v>46263</v>
      </c>
      <c r="C123" s="42">
        <f t="shared" ca="1" si="2"/>
        <v>100</v>
      </c>
      <c r="D123" s="43">
        <f t="shared" ca="1" si="3"/>
        <v>0</v>
      </c>
    </row>
    <row r="124" spans="1:4" ht="18.600000000000001" x14ac:dyDescent="0.25">
      <c r="A124" s="40" t="s">
        <v>52</v>
      </c>
      <c r="B124" s="41">
        <v>46264</v>
      </c>
      <c r="C124" s="42">
        <f t="shared" si="2"/>
        <v>100</v>
      </c>
      <c r="D124" s="43"/>
    </row>
    <row r="125" spans="1:4" ht="18.600000000000001" x14ac:dyDescent="0.25">
      <c r="A125" s="46" t="s">
        <v>52</v>
      </c>
      <c r="B125" s="41">
        <v>46265</v>
      </c>
      <c r="C125" s="42">
        <f t="shared" ca="1" si="2"/>
        <v>99.722222222222229</v>
      </c>
      <c r="D125" s="43">
        <f t="shared" ca="1" si="3"/>
        <v>4</v>
      </c>
    </row>
    <row r="126" spans="1:4" x14ac:dyDescent="0.25">
      <c r="B126" s="47"/>
      <c r="C126" s="48"/>
    </row>
    <row r="127" spans="1:4" x14ac:dyDescent="0.25">
      <c r="B127" s="47"/>
      <c r="C127" s="48"/>
    </row>
    <row r="128" spans="1:4" x14ac:dyDescent="0.25">
      <c r="A128" s="49"/>
      <c r="B128" s="47"/>
      <c r="C128" s="48"/>
    </row>
    <row r="129" spans="1:3" x14ac:dyDescent="0.25">
      <c r="A129" s="49"/>
      <c r="B129" s="47"/>
      <c r="C129" s="48"/>
    </row>
    <row r="130" spans="1:3" x14ac:dyDescent="0.25">
      <c r="A130" s="49"/>
      <c r="B130" s="47"/>
      <c r="C130" s="48"/>
    </row>
    <row r="131" spans="1:3" x14ac:dyDescent="0.25">
      <c r="A131" s="49"/>
      <c r="B131" s="47"/>
      <c r="C131" s="48"/>
    </row>
    <row r="132" spans="1:3" x14ac:dyDescent="0.25">
      <c r="B132" s="47"/>
      <c r="C132" s="48"/>
    </row>
    <row r="133" spans="1:3" x14ac:dyDescent="0.25">
      <c r="B133" s="47"/>
      <c r="C133" s="48"/>
    </row>
    <row r="134" spans="1:3" x14ac:dyDescent="0.25">
      <c r="B134" s="47"/>
      <c r="C134" s="48"/>
    </row>
    <row r="135" spans="1:3" x14ac:dyDescent="0.25">
      <c r="A135" s="49"/>
      <c r="B135" s="47"/>
      <c r="C135" s="48"/>
    </row>
    <row r="136" spans="1:3" x14ac:dyDescent="0.25">
      <c r="A136" s="49"/>
      <c r="B136" s="47"/>
      <c r="C136" s="48"/>
    </row>
    <row r="137" spans="1:3" x14ac:dyDescent="0.25">
      <c r="A137" s="49"/>
      <c r="B137" s="47"/>
      <c r="C137" s="48"/>
    </row>
    <row r="138" spans="1:3" x14ac:dyDescent="0.25">
      <c r="A138" s="49"/>
      <c r="B138" s="47"/>
      <c r="C138" s="48"/>
    </row>
    <row r="139" spans="1:3" x14ac:dyDescent="0.25">
      <c r="B139" s="47"/>
      <c r="C139" s="48"/>
    </row>
    <row r="140" spans="1:3" x14ac:dyDescent="0.25">
      <c r="B140" s="47"/>
      <c r="C140" s="48"/>
    </row>
    <row r="141" spans="1:3" x14ac:dyDescent="0.25">
      <c r="B141" s="47"/>
      <c r="C141" s="48"/>
    </row>
    <row r="142" spans="1:3" x14ac:dyDescent="0.25">
      <c r="A142" s="49"/>
      <c r="B142" s="47"/>
      <c r="C142" s="48"/>
    </row>
    <row r="143" spans="1:3" x14ac:dyDescent="0.25">
      <c r="A143" s="49"/>
      <c r="B143" s="47"/>
      <c r="C143" s="48"/>
    </row>
    <row r="144" spans="1:3" x14ac:dyDescent="0.25">
      <c r="A144" s="49"/>
      <c r="B144" s="47"/>
      <c r="C144" s="48"/>
    </row>
    <row r="145" spans="1:3" x14ac:dyDescent="0.25">
      <c r="A145" s="49"/>
      <c r="B145" s="47"/>
      <c r="C145" s="48"/>
    </row>
    <row r="146" spans="1:3" x14ac:dyDescent="0.25">
      <c r="B146" s="47"/>
      <c r="C146" s="48"/>
    </row>
    <row r="147" spans="1:3" x14ac:dyDescent="0.25">
      <c r="B147" s="47"/>
      <c r="C147" s="48"/>
    </row>
    <row r="148" spans="1:3" x14ac:dyDescent="0.25">
      <c r="B148" s="47"/>
      <c r="C148" s="48"/>
    </row>
    <row r="149" spans="1:3" x14ac:dyDescent="0.25">
      <c r="A149" s="49"/>
      <c r="B149" s="47"/>
      <c r="C149" s="48"/>
    </row>
    <row r="150" spans="1:3" x14ac:dyDescent="0.25">
      <c r="A150" s="49"/>
      <c r="B150" s="47"/>
      <c r="C150" s="48"/>
    </row>
    <row r="151" spans="1:3" x14ac:dyDescent="0.25">
      <c r="A151" s="49"/>
      <c r="B151" s="47"/>
      <c r="C151" s="48"/>
    </row>
    <row r="152" spans="1:3" x14ac:dyDescent="0.25">
      <c r="A152" s="49"/>
      <c r="B152" s="47"/>
      <c r="C152" s="48"/>
    </row>
    <row r="153" spans="1:3" x14ac:dyDescent="0.25">
      <c r="B153" s="47"/>
      <c r="C153" s="48"/>
    </row>
    <row r="154" spans="1:3" x14ac:dyDescent="0.25">
      <c r="B154" s="47"/>
      <c r="C154" s="48"/>
    </row>
    <row r="155" spans="1:3" x14ac:dyDescent="0.25">
      <c r="B155" s="47"/>
      <c r="C155" s="48"/>
    </row>
    <row r="156" spans="1:3" x14ac:dyDescent="0.25">
      <c r="A156" s="49"/>
      <c r="B156" s="47"/>
      <c r="C156" s="48"/>
    </row>
    <row r="157" spans="1:3" x14ac:dyDescent="0.25">
      <c r="A157" s="49"/>
      <c r="B157" s="47"/>
      <c r="C157" s="48"/>
    </row>
    <row r="158" spans="1:3" x14ac:dyDescent="0.25">
      <c r="A158" s="49"/>
      <c r="B158" s="47"/>
      <c r="C158" s="48"/>
    </row>
    <row r="159" spans="1:3" x14ac:dyDescent="0.25">
      <c r="A159" s="49"/>
      <c r="B159" s="47"/>
      <c r="C159" s="48"/>
    </row>
    <row r="160" spans="1:3" x14ac:dyDescent="0.25">
      <c r="B160" s="47"/>
      <c r="C160" s="48"/>
    </row>
    <row r="161" spans="1:3" x14ac:dyDescent="0.25">
      <c r="B161" s="47"/>
      <c r="C161" s="48"/>
    </row>
    <row r="162" spans="1:3" x14ac:dyDescent="0.25">
      <c r="B162" s="47"/>
      <c r="C162" s="48"/>
    </row>
    <row r="163" spans="1:3" x14ac:dyDescent="0.25">
      <c r="A163" s="49"/>
      <c r="B163" s="47"/>
      <c r="C163" s="48"/>
    </row>
    <row r="164" spans="1:3" x14ac:dyDescent="0.25">
      <c r="A164" s="49"/>
      <c r="B164" s="47"/>
      <c r="C164" s="48"/>
    </row>
    <row r="165" spans="1:3" x14ac:dyDescent="0.25">
      <c r="A165" s="49"/>
      <c r="B165" s="47"/>
      <c r="C165" s="48"/>
    </row>
    <row r="166" spans="1:3" x14ac:dyDescent="0.25">
      <c r="A166" s="49"/>
      <c r="B166" s="47"/>
      <c r="C166" s="48"/>
    </row>
    <row r="167" spans="1:3" x14ac:dyDescent="0.25">
      <c r="B167" s="47"/>
      <c r="C167" s="48"/>
    </row>
    <row r="168" spans="1:3" x14ac:dyDescent="0.25">
      <c r="B168" s="47"/>
      <c r="C168" s="48"/>
    </row>
    <row r="169" spans="1:3" x14ac:dyDescent="0.25">
      <c r="B169" s="47"/>
      <c r="C169" s="48"/>
    </row>
    <row r="170" spans="1:3" x14ac:dyDescent="0.25">
      <c r="A170" s="49"/>
      <c r="B170" s="47"/>
      <c r="C170" s="48"/>
    </row>
    <row r="171" spans="1:3" x14ac:dyDescent="0.25">
      <c r="A171" s="49"/>
      <c r="B171" s="47"/>
      <c r="C171" s="48"/>
    </row>
    <row r="172" spans="1:3" x14ac:dyDescent="0.25">
      <c r="A172" s="49"/>
      <c r="B172" s="47"/>
      <c r="C172" s="48"/>
    </row>
    <row r="173" spans="1:3" x14ac:dyDescent="0.25">
      <c r="A173" s="49"/>
      <c r="B173" s="47"/>
      <c r="C173" s="48"/>
    </row>
    <row r="174" spans="1:3" x14ac:dyDescent="0.25">
      <c r="B174" s="47"/>
      <c r="C174" s="48"/>
    </row>
    <row r="175" spans="1:3" x14ac:dyDescent="0.25">
      <c r="B175" s="47"/>
      <c r="C175" s="48"/>
    </row>
    <row r="176" spans="1:3" x14ac:dyDescent="0.25">
      <c r="B176" s="47"/>
      <c r="C176" s="48"/>
    </row>
    <row r="177" spans="1:3" x14ac:dyDescent="0.25">
      <c r="A177" s="49"/>
      <c r="B177" s="47"/>
      <c r="C177" s="48"/>
    </row>
    <row r="178" spans="1:3" x14ac:dyDescent="0.25">
      <c r="A178" s="49"/>
      <c r="B178" s="47"/>
      <c r="C178" s="48"/>
    </row>
    <row r="179" spans="1:3" x14ac:dyDescent="0.25">
      <c r="A179" s="49"/>
      <c r="B179" s="47"/>
      <c r="C179" s="48"/>
    </row>
    <row r="180" spans="1:3" x14ac:dyDescent="0.25">
      <c r="A180" s="49"/>
      <c r="B180" s="47"/>
      <c r="C180" s="48"/>
    </row>
    <row r="181" spans="1:3" x14ac:dyDescent="0.25">
      <c r="B181" s="47"/>
      <c r="C181" s="48"/>
    </row>
    <row r="182" spans="1:3" x14ac:dyDescent="0.25">
      <c r="B182" s="47"/>
      <c r="C182" s="48"/>
    </row>
    <row r="183" spans="1:3" x14ac:dyDescent="0.25">
      <c r="B183" s="47"/>
      <c r="C183" s="48"/>
    </row>
    <row r="184" spans="1:3" x14ac:dyDescent="0.25">
      <c r="A184" s="49"/>
      <c r="B184" s="47"/>
      <c r="C184" s="48"/>
    </row>
    <row r="185" spans="1:3" x14ac:dyDescent="0.25">
      <c r="A185" s="49"/>
      <c r="B185" s="47"/>
      <c r="C185" s="48"/>
    </row>
    <row r="186" spans="1:3" x14ac:dyDescent="0.25">
      <c r="A186" s="49"/>
      <c r="B186" s="47"/>
      <c r="C186" s="48"/>
    </row>
    <row r="187" spans="1:3" x14ac:dyDescent="0.25">
      <c r="A187" s="49"/>
      <c r="B187" s="47"/>
      <c r="C187" s="48"/>
    </row>
    <row r="188" spans="1:3" x14ac:dyDescent="0.25">
      <c r="B188" s="47"/>
      <c r="C188" s="48"/>
    </row>
    <row r="189" spans="1:3" x14ac:dyDescent="0.25">
      <c r="B189" s="47"/>
      <c r="C189" s="48"/>
    </row>
    <row r="190" spans="1:3" x14ac:dyDescent="0.25">
      <c r="B190" s="47"/>
      <c r="C190" s="48"/>
    </row>
    <row r="191" spans="1:3" x14ac:dyDescent="0.25">
      <c r="A191" s="49"/>
      <c r="B191" s="47"/>
      <c r="C191" s="48"/>
    </row>
    <row r="192" spans="1:3" x14ac:dyDescent="0.25">
      <c r="A192" s="49"/>
      <c r="B192" s="47"/>
      <c r="C192" s="48"/>
    </row>
    <row r="193" spans="1:3" x14ac:dyDescent="0.25">
      <c r="A193" s="49"/>
      <c r="B193" s="47"/>
      <c r="C193" s="48"/>
    </row>
    <row r="194" spans="1:3" x14ac:dyDescent="0.25">
      <c r="A194" s="49"/>
      <c r="B194" s="47"/>
      <c r="C194" s="48"/>
    </row>
    <row r="195" spans="1:3" x14ac:dyDescent="0.25">
      <c r="B195" s="47"/>
      <c r="C195" s="48"/>
    </row>
    <row r="196" spans="1:3" x14ac:dyDescent="0.25">
      <c r="B196" s="47"/>
      <c r="C196" s="48"/>
    </row>
    <row r="197" spans="1:3" x14ac:dyDescent="0.25">
      <c r="B197" s="47"/>
      <c r="C197" s="48"/>
    </row>
    <row r="198" spans="1:3" x14ac:dyDescent="0.25">
      <c r="A198" s="49"/>
      <c r="B198" s="47"/>
      <c r="C198" s="48"/>
    </row>
    <row r="199" spans="1:3" x14ac:dyDescent="0.25">
      <c r="A199" s="49"/>
      <c r="B199" s="47"/>
      <c r="C199" s="48"/>
    </row>
    <row r="200" spans="1:3" x14ac:dyDescent="0.25">
      <c r="A200" s="49"/>
      <c r="B200" s="47"/>
      <c r="C200" s="48"/>
    </row>
    <row r="201" spans="1:3" x14ac:dyDescent="0.25">
      <c r="A201" s="49"/>
      <c r="B201" s="47"/>
      <c r="C201" s="48"/>
    </row>
    <row r="202" spans="1:3" x14ac:dyDescent="0.25">
      <c r="B202" s="47"/>
      <c r="C202" s="48"/>
    </row>
    <row r="203" spans="1:3" x14ac:dyDescent="0.25">
      <c r="B203" s="47"/>
      <c r="C203" s="48"/>
    </row>
    <row r="204" spans="1:3" x14ac:dyDescent="0.25">
      <c r="B204" s="47"/>
      <c r="C204" s="48"/>
    </row>
    <row r="205" spans="1:3" x14ac:dyDescent="0.25">
      <c r="A205" s="49"/>
      <c r="B205" s="47"/>
      <c r="C205" s="48"/>
    </row>
    <row r="206" spans="1:3" x14ac:dyDescent="0.25">
      <c r="A206" s="49"/>
      <c r="B206" s="47"/>
      <c r="C206" s="48"/>
    </row>
    <row r="207" spans="1:3" x14ac:dyDescent="0.25">
      <c r="A207" s="49"/>
      <c r="B207" s="47"/>
      <c r="C207" s="48"/>
    </row>
    <row r="208" spans="1:3" x14ac:dyDescent="0.25">
      <c r="A208" s="49"/>
      <c r="B208" s="47"/>
      <c r="C208" s="48"/>
    </row>
    <row r="209" spans="1:3" x14ac:dyDescent="0.25">
      <c r="B209" s="47"/>
      <c r="C209" s="48"/>
    </row>
    <row r="210" spans="1:3" x14ac:dyDescent="0.25">
      <c r="B210" s="47"/>
      <c r="C210" s="48"/>
    </row>
    <row r="211" spans="1:3" x14ac:dyDescent="0.25">
      <c r="B211" s="47"/>
      <c r="C211" s="48"/>
    </row>
    <row r="212" spans="1:3" x14ac:dyDescent="0.25">
      <c r="A212" s="49"/>
      <c r="B212" s="47"/>
      <c r="C212" s="48"/>
    </row>
    <row r="213" spans="1:3" x14ac:dyDescent="0.25">
      <c r="A213" s="49"/>
      <c r="B213" s="47"/>
      <c r="C213" s="48"/>
    </row>
    <row r="214" spans="1:3" x14ac:dyDescent="0.25">
      <c r="A214" s="49"/>
      <c r="B214" s="47"/>
      <c r="C214" s="48"/>
    </row>
    <row r="215" spans="1:3" x14ac:dyDescent="0.25">
      <c r="A215" s="49"/>
      <c r="B215" s="47"/>
      <c r="C215" s="48"/>
    </row>
    <row r="216" spans="1:3" x14ac:dyDescent="0.25">
      <c r="B216" s="47"/>
      <c r="C216" s="48"/>
    </row>
    <row r="217" spans="1:3" x14ac:dyDescent="0.25">
      <c r="B217" s="47"/>
      <c r="C217" s="48"/>
    </row>
    <row r="218" spans="1:3" x14ac:dyDescent="0.25">
      <c r="B218" s="47"/>
      <c r="C218" s="48"/>
    </row>
    <row r="219" spans="1:3" x14ac:dyDescent="0.25">
      <c r="B219" s="47"/>
    </row>
    <row r="220" spans="1:3" x14ac:dyDescent="0.25">
      <c r="B220" s="47"/>
    </row>
    <row r="221" spans="1:3" x14ac:dyDescent="0.25">
      <c r="B221" s="47"/>
    </row>
    <row r="222" spans="1:3" x14ac:dyDescent="0.25">
      <c r="B222" s="47"/>
    </row>
    <row r="223" spans="1:3" x14ac:dyDescent="0.25">
      <c r="B223" s="47"/>
    </row>
    <row r="224" spans="1:3" x14ac:dyDescent="0.25">
      <c r="B224" s="47"/>
    </row>
    <row r="225" spans="2:2" x14ac:dyDescent="0.25">
      <c r="B225" s="47"/>
    </row>
    <row r="226" spans="2:2" x14ac:dyDescent="0.25">
      <c r="B226" s="47"/>
    </row>
    <row r="227" spans="2:2" x14ac:dyDescent="0.25">
      <c r="B227" s="47"/>
    </row>
    <row r="228" spans="2:2" x14ac:dyDescent="0.25">
      <c r="B228" s="47"/>
    </row>
    <row r="229" spans="2:2" x14ac:dyDescent="0.25">
      <c r="B229" s="47"/>
    </row>
    <row r="230" spans="2:2" x14ac:dyDescent="0.25">
      <c r="B230" s="47"/>
    </row>
    <row r="231" spans="2:2" x14ac:dyDescent="0.25">
      <c r="B231" s="47"/>
    </row>
    <row r="232" spans="2:2" x14ac:dyDescent="0.25">
      <c r="B232" s="47"/>
    </row>
    <row r="233" spans="2:2" x14ac:dyDescent="0.25">
      <c r="B233" s="47"/>
    </row>
    <row r="234" spans="2:2" x14ac:dyDescent="0.25">
      <c r="B234" s="47"/>
    </row>
    <row r="235" spans="2:2" x14ac:dyDescent="0.25">
      <c r="B235" s="47"/>
    </row>
    <row r="236" spans="2:2" x14ac:dyDescent="0.25">
      <c r="B236" s="47"/>
    </row>
    <row r="237" spans="2:2" x14ac:dyDescent="0.25">
      <c r="B237" s="47"/>
    </row>
    <row r="238" spans="2:2" x14ac:dyDescent="0.25">
      <c r="B238" s="47"/>
    </row>
    <row r="239" spans="2:2" x14ac:dyDescent="0.25">
      <c r="B239" s="47"/>
    </row>
    <row r="240" spans="2:2" x14ac:dyDescent="0.25">
      <c r="B240" s="47"/>
    </row>
    <row r="241" spans="2:2" x14ac:dyDescent="0.25">
      <c r="B241" s="47"/>
    </row>
    <row r="242" spans="2:2" x14ac:dyDescent="0.25">
      <c r="B242" s="47"/>
    </row>
    <row r="243" spans="2:2" x14ac:dyDescent="0.25">
      <c r="B243" s="47"/>
    </row>
    <row r="244" spans="2:2" x14ac:dyDescent="0.25">
      <c r="B244" s="47"/>
    </row>
    <row r="245" spans="2:2" x14ac:dyDescent="0.25">
      <c r="B245" s="47"/>
    </row>
    <row r="246" spans="2:2" x14ac:dyDescent="0.25">
      <c r="B246" s="47"/>
    </row>
    <row r="247" spans="2:2" x14ac:dyDescent="0.25">
      <c r="B247" s="47"/>
    </row>
    <row r="248" spans="2:2" x14ac:dyDescent="0.25">
      <c r="B248" s="47"/>
    </row>
    <row r="249" spans="2:2" x14ac:dyDescent="0.25">
      <c r="B249" s="47"/>
    </row>
  </sheetData>
  <autoFilter ref="A1:E218" xr:uid="{722C57DA-B53F-4EF5-81D4-89FE6AB9FDC7}">
    <sortState xmlns:xlrd2="http://schemas.microsoft.com/office/spreadsheetml/2017/richdata2" ref="A2:E218">
      <sortCondition ref="B1"/>
    </sortState>
  </autoFilter>
  <dataValidations count="1">
    <dataValidation allowBlank="1" showInputMessage="1" showErrorMessage="1" sqref="A2:A125" xr:uid="{D87D8A40-72F0-47F9-B708-8FE8197B5EB9}"/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รายงานสรุป</vt:lpstr>
      <vt:lpstr>Overview</vt:lpstr>
      <vt:lpstr>Event Log</vt:lpstr>
      <vt:lpstr>รายงานสรุป!Print_Area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Wisitsak Porkpermdee</dc:creator>
  <cp:keywords/>
  <dc:description/>
  <cp:lastModifiedBy>Office</cp:lastModifiedBy>
  <cp:revision/>
  <dcterms:created xsi:type="dcterms:W3CDTF">2026-08-05T07:50:57Z</dcterms:created>
  <dcterms:modified xsi:type="dcterms:W3CDTF">2026-09-01T09:28:58Z</dcterms:modified>
  <cp:category/>
  <cp:contentStatus/>
</cp:coreProperties>
</file>